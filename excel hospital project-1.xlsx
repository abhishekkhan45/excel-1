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is\Excel\"/>
    </mc:Choice>
  </mc:AlternateContent>
  <xr:revisionPtr revIDLastSave="0" documentId="8_{5331BBBA-0998-47EA-93CD-1803A7FACC0B}" xr6:coauthVersionLast="47" xr6:coauthVersionMax="47" xr10:uidLastSave="{00000000-0000-0000-0000-000000000000}"/>
  <workbookProtection workbookAlgorithmName="SHA-512" workbookHashValue="WykX1eEHXF5V4J3KSQunxkjrZupYqw2Hn1AZL0zxVfEWHnd0iUzTmqzhC3w3eZvrHe6ic/qZZPTTZEzViqhHwg==" workbookSaltValue="EHpF+71vKWK6oH4ejRpM2A==" workbookSpinCount="100000" lockStructure="1"/>
  <bookViews>
    <workbookView xWindow="-120" yWindow="-120" windowWidth="29040" windowHeight="16440" activeTab="1" xr2:uid="{79076F7E-28A2-4052-A5AD-86F5274F1E71}"/>
  </bookViews>
  <sheets>
    <sheet name="Sheet1" sheetId="1" r:id="rId1"/>
    <sheet name="Dashborad" sheetId="5" r:id="rId2"/>
    <sheet name="Patient satisfaction" sheetId="13" r:id="rId3"/>
    <sheet name="Average wait time" sheetId="12" r:id="rId4"/>
    <sheet name="No of Patient" sheetId="6" r:id="rId5"/>
  </sheets>
  <definedNames>
    <definedName name="Slicer_Column1__Month">#N/A</definedName>
  </definedNames>
  <calcPr calcId="191029"/>
  <pivotCaches>
    <pivotCache cacheId="59" r:id="rId6"/>
    <pivotCache cacheId="62" r:id="rId7"/>
    <pivotCache cacheId="65" r:id="rId8"/>
    <pivotCache cacheId="68" r:id="rId9"/>
    <pivotCache cacheId="71" r:id="rId10"/>
    <pivotCache cacheId="74" r:id="rId11"/>
    <pivotCache cacheId="77" r:id="rId12"/>
    <pivotCache cacheId="80" r:id="rId13"/>
    <pivotCache cacheId="83" r:id="rId14"/>
    <pivotCache cacheId="86" r:id="rId15"/>
    <pivotCache cacheId="89" r:id="rId16"/>
    <pivotCache cacheId="92" r:id="rId17"/>
    <pivotCache cacheId="95" r:id="rId18"/>
    <pivotCache cacheId="98"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c6005b37-b406-4dc3-bc41-b35e4498418f" name="Hospital Emergency Room Data  1" connection="Query - Hospital Emergency Room Data (1"/>
          <x15:modelTable id="calender_table_13c89029-1e0b-48e9-abdf-5efddcaa6e8a" name="calender_table" connection="Query - calender_table"/>
        </x15:modelTables>
        <x15:modelRelationships>
          <x15:modelRelationship fromTable="Hospital Emergency Room Data  1" fromColumn="Patient Admission Date.1"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6" i="1" l="1"/>
  <c r="H66" i="1"/>
  <c r="I66" i="1"/>
  <c r="H65" i="1"/>
  <c r="I65" i="1"/>
  <c r="G65" i="1"/>
  <c r="B58" i="1"/>
  <c r="B59" i="1"/>
  <c r="A59" i="1"/>
  <c r="A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78E4D6-0451-4301-AF91-A448CE11AB06}" name="Query - calender_table" description="Connection to the 'calender_table' query in the workbook." type="100" refreshedVersion="8" minRefreshableVersion="5">
    <extLst>
      <ext xmlns:x15="http://schemas.microsoft.com/office/spreadsheetml/2010/11/main" uri="{DE250136-89BD-433C-8126-D09CA5730AF9}">
        <x15:connection id="276b9585-4c87-40b9-8494-8de0698b8b2b"/>
      </ext>
    </extLst>
  </connection>
  <connection id="2" xr16:uid="{B1968ABD-DB9E-4751-9A3D-58690550B1D8}"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fce06339-82ad-4729-8cc2-4b17bc9a1782"/>
      </ext>
    </extLst>
  </connection>
  <connection id="3" xr16:uid="{0E46C138-C538-466A-982D-67B06646830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<sst xmlns="http://schemas.openxmlformats.org/spreadsheetml/2006/main" count="164" uniqueCount="72">
  <si>
    <t>Distinct Count of Patient Id</t>
  </si>
  <si>
    <t>No patient count</t>
  </si>
  <si>
    <t>Male</t>
  </si>
  <si>
    <t>None</t>
  </si>
  <si>
    <t>admitted</t>
  </si>
  <si>
    <t>60-69</t>
  </si>
  <si>
    <t>Delay</t>
  </si>
  <si>
    <t>70-79</t>
  </si>
  <si>
    <t>10-19</t>
  </si>
  <si>
    <t>Ontime</t>
  </si>
  <si>
    <t>40-49</t>
  </si>
  <si>
    <t>50-59</t>
  </si>
  <si>
    <t>20-29</t>
  </si>
  <si>
    <t>0-9</t>
  </si>
  <si>
    <t>30-39</t>
  </si>
  <si>
    <t>not admitted</t>
  </si>
  <si>
    <t>Average of Patient Waittime</t>
  </si>
  <si>
    <t>Sum of Patient Satisfaction Score</t>
  </si>
  <si>
    <t>Row Labels</t>
  </si>
  <si>
    <t>Grand Total</t>
  </si>
  <si>
    <t>average wait time</t>
  </si>
  <si>
    <t>no of patient</t>
  </si>
  <si>
    <t>Female</t>
  </si>
  <si>
    <t>General Practice</t>
  </si>
  <si>
    <t>Orthopedics</t>
  </si>
  <si>
    <t>Neurology</t>
  </si>
  <si>
    <t>Physiotherapy</t>
  </si>
  <si>
    <t>Cardiology</t>
  </si>
  <si>
    <t>Count of Patient Admission Flag</t>
  </si>
  <si>
    <t>Count of Patient Admission Flag2</t>
  </si>
  <si>
    <t>Femaleemale</t>
  </si>
  <si>
    <t>Renal</t>
  </si>
  <si>
    <t>Gastroenterology</t>
  </si>
  <si>
    <t>Admissionstatus</t>
  </si>
  <si>
    <t>No of Patient</t>
  </si>
  <si>
    <t>Count of age Group</t>
  </si>
  <si>
    <t>Count of patient attend status</t>
  </si>
  <si>
    <t>Count of Patient Gender</t>
  </si>
  <si>
    <t>Count of Department Referral</t>
  </si>
  <si>
    <t>Admission Status</t>
  </si>
  <si>
    <t>Ststus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</si>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</sst>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1" tint="0.149998474074526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3" tint="0.79998168889431442"/>
        <bgColor indexed="64"/>
      </patternFill>
    </fill>
  </fills>
  <borders count="3">
    <border>
      <left/>
      <right/>
      <top/>
      <bottom/>
      <diagonal/>
    </border>
    <border>
      <left/>
      <right/>
      <top/>
      <bottom style="thin">
        <color theme="4" tint="0.39997558519241921"/>
      </bottom>
      <diagonal/>
    </border>
    <border>
      <left style="thin">
        <color indexed="64"/>
      </left>
      <right/>
      <top/>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0" fontId="2" fillId="4" borderId="0" xfId="0" applyFont="1" applyFill="1"/>
    <xf numFmtId="0" fontId="2" fillId="5" borderId="0" xfId="0" applyFont="1" applyFill="1"/>
    <xf numFmtId="0" fontId="2" fillId="5" borderId="2" xfId="0" applyFont="1" applyFill="1" applyBorder="1"/>
    <xf numFmtId="1" fontId="2" fillId="5" borderId="2" xfId="0" applyNumberFormat="1" applyFont="1" applyFill="1" applyBorder="1"/>
    <xf numFmtId="0" fontId="2" fillId="4" borderId="0" xfId="0" applyFont="1" applyFill="1" applyAlignment="1">
      <alignment horizontal="left"/>
    </xf>
    <xf numFmtId="0" fontId="0" fillId="6" borderId="0" xfId="0" applyFill="1" applyAlignment="1">
      <alignment horizontal="left"/>
    </xf>
    <xf numFmtId="0" fontId="0" fillId="6" borderId="2" xfId="0" applyFill="1" applyBorder="1" applyAlignment="1">
      <alignment horizontal="left"/>
    </xf>
    <xf numFmtId="10" fontId="0" fillId="6" borderId="2" xfId="0" applyNumberFormat="1" applyFill="1" applyBorder="1" applyAlignment="1">
      <alignment horizontal="left"/>
    </xf>
    <xf numFmtId="0" fontId="0" fillId="3" borderId="0" xfId="0" applyFill="1"/>
    <xf numFmtId="0" fontId="0" fillId="3" borderId="0" xfId="0" applyFill="1" applyProtection="1">
      <protection locked="0"/>
    </xf>
    <xf numFmtId="0" fontId="0" fillId="0" borderId="0" xfId="0" applyProtection="1">
      <protection locked="0"/>
    </xf>
    <xf numFmtId="0" fontId="0" fillId="0" borderId="0" xfId="0" applyNumberFormat="1"/>
  </cellXfs>
  <cellStyles count="1">
    <cellStyle name="Normal" xfId="0" builtinId="0"/>
  </cellStyles>
  <dxfs count="32">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border diagonalUp="0" diagonalDown="0">
        <left/>
        <right/>
        <top/>
        <bottom/>
        <vertical/>
        <horizontal/>
      </border>
    </dxf>
  </dxfs>
  <tableStyles count="1" defaultTableStyle="TableStyleMedium2" defaultPivotStyle="PivotStyleLight16">
    <tableStyle name="my style" pivot="0" table="0" count="10" xr9:uid="{678FD1B2-76A7-4CA5-8813-A0DA6D8CB698}">
      <tableStyleElement type="wholeTable" dxfId="31"/>
      <tableStyleElement type="headerRow" dxfId="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2"/>
          </a:solidFill>
          <a:ln>
            <a:noFill/>
          </a:ln>
          <a:effectLst/>
        </c:spPr>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1440C3E-EE42-4477-A24B-9D44F1B23975}" type="CELLRANGE">
                  <a:rPr lang="en-IN"/>
                  <a:pPr>
                    <a:defRPr sz="10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spPr>
          <a:solidFill>
            <a:schemeClr val="bg1"/>
          </a:solidFill>
          <a:ln>
            <a:noFill/>
          </a:ln>
          <a:effectLst/>
        </c:spPr>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54D51C0B-4661-49C8-AF7E-2EA42257ACBD}" type="CELLRANGE">
                  <a:rPr lang="en-US"/>
                  <a:pPr>
                    <a:defRPr sz="10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
          <c:y val="0.11079118980156298"/>
          <c:w val="0.80388395300854776"/>
          <c:h val="0.7956981980894825"/>
        </c:manualLayout>
      </c:layout>
      <c:barChart>
        <c:barDir val="bar"/>
        <c:grouping val="clustered"/>
        <c:varyColors val="0"/>
        <c:ser>
          <c:idx val="0"/>
          <c:order val="0"/>
          <c:tx>
            <c:strRef>
              <c:f>Sheet1!$I$59:$I$60</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4-EF81-402C-9619-F15DA163BB6F}"/>
              </c:ext>
            </c:extLst>
          </c:dPt>
          <c:dPt>
            <c:idx val="1"/>
            <c:invertIfNegative val="0"/>
            <c:bubble3D val="0"/>
            <c:spPr>
              <a:solidFill>
                <a:schemeClr val="bg2"/>
              </a:solidFill>
              <a:ln>
                <a:noFill/>
              </a:ln>
              <a:effectLst/>
            </c:spPr>
            <c:extLst>
              <c:ext xmlns:c16="http://schemas.microsoft.com/office/drawing/2014/chart" uri="{C3380CC4-5D6E-409C-BE32-E72D297353CC}">
                <c16:uniqueId val="{00000003-EF81-402C-9619-F15DA163BB6F}"/>
              </c:ext>
            </c:extLst>
          </c:dPt>
          <c:dLbls>
            <c:dLbl>
              <c:idx val="0"/>
              <c:tx>
                <c:rich>
                  <a:bodyPr/>
                  <a:lstStyle/>
                  <a:p>
                    <a:fld id="{54D51C0B-4661-49C8-AF7E-2EA42257ACB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F81-402C-9619-F15DA163BB6F}"/>
                </c:ext>
              </c:extLst>
            </c:dLbl>
            <c:dLbl>
              <c:idx val="1"/>
              <c:tx>
                <c:rich>
                  <a:bodyPr/>
                  <a:lstStyle/>
                  <a:p>
                    <a:fld id="{D1440C3E-EE42-4477-A24B-9D44F1B2397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F81-402C-9619-F15DA163BB6F}"/>
                </c:ext>
              </c:extLst>
            </c:dLbl>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Sheet1!$I$59:$I$60</c:f>
              <c:strCache>
                <c:ptCount val="2"/>
                <c:pt idx="0">
                  <c:v>admitted</c:v>
                </c:pt>
                <c:pt idx="1">
                  <c:v>not admitted</c:v>
                </c:pt>
              </c:strCache>
            </c:strRef>
          </c:cat>
          <c:val>
            <c:numRef>
              <c:f>Sheet1!$I$59:$I$60</c:f>
              <c:numCache>
                <c:formatCode>0</c:formatCode>
                <c:ptCount val="2"/>
                <c:pt idx="0">
                  <c:v>269</c:v>
                </c:pt>
                <c:pt idx="1">
                  <c:v>244</c:v>
                </c:pt>
              </c:numCache>
            </c:numRef>
          </c:val>
          <c:extLst>
            <c:ext xmlns:c15="http://schemas.microsoft.com/office/drawing/2012/chart" uri="{02D57815-91ED-43cb-92C2-25804820EDAC}">
              <c15:datalabelsRange>
                <c15:f>Sheet1!$I$59:$I$60</c15:f>
                <c15:dlblRangeCache>
                  <c:ptCount val="2"/>
                  <c:pt idx="0">
                    <c:v>52.44%</c:v>
                  </c:pt>
                  <c:pt idx="1">
                    <c:v>47.56%</c:v>
                  </c:pt>
                </c15:dlblRangeCache>
              </c15:datalabelsRange>
            </c:ext>
            <c:ext xmlns:c16="http://schemas.microsoft.com/office/drawing/2014/chart" uri="{C3380CC4-5D6E-409C-BE32-E72D297353CC}">
              <c16:uniqueId val="{00000000-EF81-402C-9619-F15DA163BB6F}"/>
            </c:ext>
          </c:extLst>
        </c:ser>
        <c:ser>
          <c:idx val="1"/>
          <c:order val="1"/>
          <c:tx>
            <c:strRef>
              <c:f>Sheet1!$I$59:$I$60</c:f>
              <c:strCache>
                <c:ptCount val="1"/>
                <c:pt idx="0">
                  <c:v>Count of Patient Admission Flag2</c:v>
                </c:pt>
              </c:strCache>
            </c:strRef>
          </c:tx>
          <c:spPr>
            <a:solidFill>
              <a:schemeClr val="accent2"/>
            </a:solidFill>
            <a:ln>
              <a:noFill/>
            </a:ln>
            <a:effectLst/>
          </c:spPr>
          <c:invertIfNegative val="0"/>
          <c:cat>
            <c:strRef>
              <c:f>Sheet1!$I$59:$I$60</c:f>
              <c:strCache>
                <c:ptCount val="2"/>
                <c:pt idx="0">
                  <c:v>admitted</c:v>
                </c:pt>
                <c:pt idx="1">
                  <c:v>not admitted</c:v>
                </c:pt>
              </c:strCache>
            </c:strRef>
          </c:cat>
          <c:val>
            <c:numRef>
              <c:f>Sheet1!$I$59:$I$60</c:f>
              <c:numCache>
                <c:formatCode>0.00%</c:formatCode>
                <c:ptCount val="2"/>
                <c:pt idx="0">
                  <c:v>0.52436647173489281</c:v>
                </c:pt>
                <c:pt idx="1">
                  <c:v>0.47563352826510719</c:v>
                </c:pt>
              </c:numCache>
            </c:numRef>
          </c:val>
          <c:extLst>
            <c:ext xmlns:c16="http://schemas.microsoft.com/office/drawing/2014/chart" uri="{C3380CC4-5D6E-409C-BE32-E72D297353CC}">
              <c16:uniqueId val="{00000001-EF81-402C-9619-F15DA163BB6F}"/>
            </c:ext>
          </c:extLst>
        </c:ser>
        <c:dLbls>
          <c:showLegendKey val="0"/>
          <c:showVal val="0"/>
          <c:showCatName val="0"/>
          <c:showSerName val="0"/>
          <c:showPercent val="0"/>
          <c:showBubbleSize val="0"/>
        </c:dLbls>
        <c:gapWidth val="182"/>
        <c:axId val="676126863"/>
        <c:axId val="676127343"/>
      </c:barChart>
      <c:catAx>
        <c:axId val="676126863"/>
        <c:scaling>
          <c:orientation val="minMax"/>
        </c:scaling>
        <c:delete val="1"/>
        <c:axPos val="l"/>
        <c:numFmt formatCode="General" sourceLinked="1"/>
        <c:majorTickMark val="none"/>
        <c:minorTickMark val="none"/>
        <c:tickLblPos val="nextTo"/>
        <c:crossAx val="676127343"/>
        <c:crosses val="autoZero"/>
        <c:auto val="1"/>
        <c:lblAlgn val="ctr"/>
        <c:lblOffset val="100"/>
        <c:noMultiLvlLbl val="0"/>
      </c:catAx>
      <c:valAx>
        <c:axId val="6761273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7612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project-1.xlsx]Sheet1!PivotTable11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Sheet1!$F$38</c:f>
              <c:strCache>
                <c:ptCount val="1"/>
                <c:pt idx="0">
                  <c:v>Total</c:v>
                </c:pt>
              </c:strCache>
            </c:strRef>
          </c:tx>
          <c:spPr>
            <a:solidFill>
              <a:schemeClr val="accent1"/>
            </a:solidFill>
            <a:ln>
              <a:noFill/>
            </a:ln>
            <a:effectLst/>
          </c:spPr>
          <c:invertIfNegative val="0"/>
          <c:cat>
            <c:strRef>
              <c:f>Sheet1!$E$39:$E$47</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Sheet1!$F$39:$F$47</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5917-4860-BFE9-0B02FC505807}"/>
            </c:ext>
          </c:extLst>
        </c:ser>
        <c:dLbls>
          <c:showLegendKey val="0"/>
          <c:showVal val="0"/>
          <c:showCatName val="0"/>
          <c:showSerName val="0"/>
          <c:showPercent val="0"/>
          <c:showBubbleSize val="0"/>
        </c:dLbls>
        <c:gapWidth val="182"/>
        <c:axId val="1091298943"/>
        <c:axId val="1091302303"/>
      </c:barChart>
      <c:catAx>
        <c:axId val="109129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02303"/>
        <c:crosses val="autoZero"/>
        <c:auto val="1"/>
        <c:lblAlgn val="ctr"/>
        <c:lblOffset val="100"/>
        <c:noMultiLvlLbl val="0"/>
      </c:catAx>
      <c:valAx>
        <c:axId val="109130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60768038955289E-2"/>
          <c:y val="6.7229113998471382E-2"/>
          <c:w val="0.92313731186365644"/>
          <c:h val="0.8741254629901819"/>
        </c:manualLayout>
      </c:layout>
      <c:areaChart>
        <c:grouping val="standard"/>
        <c:varyColors val="0"/>
        <c:ser>
          <c:idx val="0"/>
          <c:order val="0"/>
          <c:tx>
            <c:strRef>
              <c:f>Sheet1!$I$6</c:f>
              <c:strCache>
                <c:ptCount val="1"/>
                <c:pt idx="0">
                  <c:v>Total</c:v>
                </c:pt>
              </c:strCache>
            </c:strRef>
          </c:tx>
          <c:spPr>
            <a:solidFill>
              <a:schemeClr val="bg1">
                <a:lumMod val="50000"/>
              </a:schemeClr>
            </a:solidFill>
            <a:ln>
              <a:noFill/>
            </a:ln>
            <a:effectLst/>
          </c:spPr>
          <c:cat>
            <c:strRef>
              <c:f>Sheet1!$H$7:$H$38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Sheet1!$I$7:$I$38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4F9F-4633-99A3-84057DC8FFCB}"/>
            </c:ext>
          </c:extLst>
        </c:ser>
        <c:dLbls>
          <c:showLegendKey val="0"/>
          <c:showVal val="0"/>
          <c:showCatName val="0"/>
          <c:showSerName val="0"/>
          <c:showPercent val="0"/>
          <c:showBubbleSize val="0"/>
        </c:dLbls>
        <c:axId val="676133103"/>
        <c:axId val="676118703"/>
      </c:areaChart>
      <c:catAx>
        <c:axId val="676133103"/>
        <c:scaling>
          <c:orientation val="minMax"/>
        </c:scaling>
        <c:delete val="1"/>
        <c:axPos val="b"/>
        <c:numFmt formatCode="General" sourceLinked="1"/>
        <c:majorTickMark val="out"/>
        <c:minorTickMark val="none"/>
        <c:tickLblPos val="nextTo"/>
        <c:crossAx val="676118703"/>
        <c:crosses val="autoZero"/>
        <c:auto val="1"/>
        <c:lblAlgn val="ctr"/>
        <c:lblOffset val="100"/>
        <c:noMultiLvlLbl val="0"/>
      </c:catAx>
      <c:valAx>
        <c:axId val="676118703"/>
        <c:scaling>
          <c:orientation val="minMax"/>
        </c:scaling>
        <c:delete val="1"/>
        <c:axPos val="l"/>
        <c:numFmt formatCode="General" sourceLinked="1"/>
        <c:majorTickMark val="none"/>
        <c:minorTickMark val="none"/>
        <c:tickLblPos val="nextTo"/>
        <c:crossAx val="676133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53444873984966E-2"/>
          <c:y val="0.12337621620953292"/>
          <c:w val="0.96140647147052616"/>
          <c:h val="0.85419174447964297"/>
        </c:manualLayout>
      </c:layout>
      <c:areaChart>
        <c:grouping val="standard"/>
        <c:varyColors val="0"/>
        <c:ser>
          <c:idx val="0"/>
          <c:order val="0"/>
          <c:tx>
            <c:strRef>
              <c:f>Sheet1!$O$6</c:f>
              <c:strCache>
                <c:ptCount val="1"/>
                <c:pt idx="0">
                  <c:v>Total</c:v>
                </c:pt>
              </c:strCache>
            </c:strRef>
          </c:tx>
          <c:spPr>
            <a:solidFill>
              <a:schemeClr val="tx1">
                <a:lumMod val="75000"/>
                <a:lumOff val="25000"/>
              </a:schemeClr>
            </a:solidFill>
            <a:ln>
              <a:noFill/>
            </a:ln>
            <a:effectLst/>
          </c:spPr>
          <c:cat>
            <c:strRef>
              <c:f>Sheet1!$N$7:$N$38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Sheet1!$O$7:$O$38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A038-4FB9-ABF2-474F0356794A}"/>
            </c:ext>
          </c:extLst>
        </c:ser>
        <c:dLbls>
          <c:showLegendKey val="0"/>
          <c:showVal val="0"/>
          <c:showCatName val="0"/>
          <c:showSerName val="0"/>
          <c:showPercent val="0"/>
          <c:showBubbleSize val="0"/>
        </c:dLbls>
        <c:axId val="676162383"/>
        <c:axId val="676161423"/>
      </c:areaChart>
      <c:catAx>
        <c:axId val="676162383"/>
        <c:scaling>
          <c:orientation val="minMax"/>
        </c:scaling>
        <c:delete val="1"/>
        <c:axPos val="b"/>
        <c:numFmt formatCode="General" sourceLinked="1"/>
        <c:majorTickMark val="out"/>
        <c:minorTickMark val="none"/>
        <c:tickLblPos val="nextTo"/>
        <c:crossAx val="676161423"/>
        <c:crosses val="autoZero"/>
        <c:auto val="1"/>
        <c:lblAlgn val="ctr"/>
        <c:lblOffset val="100"/>
        <c:noMultiLvlLbl val="0"/>
      </c:catAx>
      <c:valAx>
        <c:axId val="676161423"/>
        <c:scaling>
          <c:orientation val="minMax"/>
        </c:scaling>
        <c:delete val="1"/>
        <c:axPos val="l"/>
        <c:numFmt formatCode="0.00" sourceLinked="1"/>
        <c:majorTickMark val="none"/>
        <c:minorTickMark val="none"/>
        <c:tickLblPos val="nextTo"/>
        <c:crossAx val="676162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093174863630313"/>
          <c:w val="0.98587387595817111"/>
          <c:h val="0.88906825136369683"/>
        </c:manualLayout>
      </c:layout>
      <c:areaChart>
        <c:grouping val="standard"/>
        <c:varyColors val="0"/>
        <c:ser>
          <c:idx val="0"/>
          <c:order val="0"/>
          <c:tx>
            <c:strRef>
              <c:f>Sheet1!$T$6</c:f>
              <c:strCache>
                <c:ptCount val="1"/>
                <c:pt idx="0">
                  <c:v>Total</c:v>
                </c:pt>
              </c:strCache>
            </c:strRef>
          </c:tx>
          <c:spPr>
            <a:solidFill>
              <a:schemeClr val="tx1">
                <a:lumMod val="85000"/>
                <a:lumOff val="15000"/>
              </a:schemeClr>
            </a:solidFill>
            <a:ln>
              <a:noFill/>
            </a:ln>
            <a:effectLst/>
          </c:spPr>
          <c:cat>
            <c:strRef>
              <c:f>Sheet1!$S$7:$S$38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Sheet1!$T$7:$T$38</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0-3F76-4C2F-AC27-57931A84F261}"/>
            </c:ext>
          </c:extLst>
        </c:ser>
        <c:dLbls>
          <c:showLegendKey val="0"/>
          <c:showVal val="0"/>
          <c:showCatName val="0"/>
          <c:showSerName val="0"/>
          <c:showPercent val="0"/>
          <c:showBubbleSize val="0"/>
        </c:dLbls>
        <c:axId val="59327391"/>
        <c:axId val="59332191"/>
      </c:areaChart>
      <c:catAx>
        <c:axId val="59327391"/>
        <c:scaling>
          <c:orientation val="minMax"/>
        </c:scaling>
        <c:delete val="1"/>
        <c:axPos val="b"/>
        <c:numFmt formatCode="General" sourceLinked="1"/>
        <c:majorTickMark val="out"/>
        <c:minorTickMark val="none"/>
        <c:tickLblPos val="nextTo"/>
        <c:crossAx val="59332191"/>
        <c:crosses val="autoZero"/>
        <c:auto val="1"/>
        <c:lblAlgn val="ctr"/>
        <c:lblOffset val="100"/>
        <c:noMultiLvlLbl val="0"/>
      </c:catAx>
      <c:valAx>
        <c:axId val="59332191"/>
        <c:scaling>
          <c:orientation val="minMax"/>
        </c:scaling>
        <c:delete val="1"/>
        <c:axPos val="l"/>
        <c:numFmt formatCode="0.00" sourceLinked="1"/>
        <c:majorTickMark val="none"/>
        <c:minorTickMark val="none"/>
        <c:tickLblPos val="nextTo"/>
        <c:crossAx val="59327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No</a:t>
            </a:r>
            <a:r>
              <a:rPr lang="en-US" sz="900" baseline="0"/>
              <a:t> of Patient by Age Group</a:t>
            </a:r>
            <a:endParaRPr lang="en-US" sz="900"/>
          </a:p>
        </c:rich>
      </c:tx>
      <c:layout>
        <c:manualLayout>
          <c:xMode val="edge"/>
          <c:yMode val="edge"/>
          <c:x val="0.20880054298061013"/>
          <c:y val="2.886273986944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03384793330011E-2"/>
          <c:y val="0.13164230608673691"/>
          <c:w val="0.90819129624572281"/>
          <c:h val="0.65731161345220401"/>
        </c:manualLayout>
      </c:layout>
      <c:barChart>
        <c:barDir val="col"/>
        <c:grouping val="clustered"/>
        <c:varyColors val="0"/>
        <c:ser>
          <c:idx val="0"/>
          <c:order val="0"/>
          <c:tx>
            <c:strRef>
              <c:f>Sheet1!$E$10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Sheet1!$D$11:$D$19</c:f>
              <c:strCache>
                <c:ptCount val="8"/>
                <c:pt idx="0">
                  <c:v>0-9</c:v>
                </c:pt>
                <c:pt idx="1">
                  <c:v>10-19</c:v>
                </c:pt>
                <c:pt idx="2">
                  <c:v>20-29</c:v>
                </c:pt>
                <c:pt idx="3">
                  <c:v>30-39</c:v>
                </c:pt>
                <c:pt idx="4">
                  <c:v>40-49</c:v>
                </c:pt>
                <c:pt idx="5">
                  <c:v>50-59</c:v>
                </c:pt>
                <c:pt idx="6">
                  <c:v>60-69</c:v>
                </c:pt>
                <c:pt idx="7">
                  <c:v>70-79</c:v>
                </c:pt>
              </c:strCache>
            </c:strRef>
          </c:cat>
          <c:val>
            <c:numRef>
              <c:f>Sheet1!$E$11:$E$19</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779E-4CAB-9AC8-266D7BEFB0B4}"/>
            </c:ext>
          </c:extLst>
        </c:ser>
        <c:dLbls>
          <c:showLegendKey val="0"/>
          <c:showVal val="0"/>
          <c:showCatName val="0"/>
          <c:showSerName val="0"/>
          <c:showPercent val="0"/>
          <c:showBubbleSize val="0"/>
        </c:dLbls>
        <c:gapWidth val="219"/>
        <c:overlap val="-27"/>
        <c:axId val="1639406816"/>
        <c:axId val="1639391936"/>
      </c:barChart>
      <c:catAx>
        <c:axId val="16394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9391936"/>
        <c:crosses val="autoZero"/>
        <c:auto val="1"/>
        <c:lblAlgn val="ctr"/>
        <c:lblOffset val="100"/>
        <c:noMultiLvlLbl val="0"/>
      </c:catAx>
      <c:valAx>
        <c:axId val="1639391936"/>
        <c:scaling>
          <c:orientation val="minMax"/>
        </c:scaling>
        <c:delete val="1"/>
        <c:axPos val="l"/>
        <c:numFmt formatCode="General" sourceLinked="1"/>
        <c:majorTickMark val="none"/>
        <c:minorTickMark val="none"/>
        <c:tickLblPos val="nextTo"/>
        <c:crossAx val="163940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project-1.xlsx]Sheet1!PivotTable9</c:name>
    <c:fmtId val="10"/>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sz="600">
                <a:solidFill>
                  <a:schemeClr val="tx1">
                    <a:lumMod val="95000"/>
                    <a:lumOff val="5000"/>
                  </a:schemeClr>
                </a:solidFill>
              </a:rPr>
              <a:t>Patient Attend Status</a:t>
            </a:r>
          </a:p>
        </c:rich>
      </c:tx>
      <c:layout>
        <c:manualLayout>
          <c:xMode val="edge"/>
          <c:yMode val="edge"/>
          <c:x val="0.20872664940438831"/>
          <c:y val="6.42796044695414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486248932449469E-2"/>
          <c:y val="0.19735465046366155"/>
          <c:w val="0.54059615071780065"/>
          <c:h val="0.66000609784953823"/>
        </c:manualLayout>
      </c:layout>
      <c:pieChart>
        <c:varyColors val="1"/>
        <c:ser>
          <c:idx val="0"/>
          <c:order val="0"/>
          <c:tx>
            <c:strRef>
              <c:f>Sheet1!$D$29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AF-4CDE-81F7-DEA4F4944A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AF-4CDE-81F7-DEA4F4944A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Sheet1!$C$30:$C$32</c:f>
              <c:strCache>
                <c:ptCount val="2"/>
                <c:pt idx="0">
                  <c:v>Delay</c:v>
                </c:pt>
                <c:pt idx="1">
                  <c:v>Ontime</c:v>
                </c:pt>
              </c:strCache>
            </c:strRef>
          </c:cat>
          <c:val>
            <c:numRef>
              <c:f>Sheet1!$D$30:$D$32</c:f>
              <c:numCache>
                <c:formatCode>General</c:formatCode>
                <c:ptCount val="2"/>
                <c:pt idx="0">
                  <c:v>316</c:v>
                </c:pt>
                <c:pt idx="1">
                  <c:v>197</c:v>
                </c:pt>
              </c:numCache>
            </c:numRef>
          </c:val>
          <c:extLst>
            <c:ext xmlns:c16="http://schemas.microsoft.com/office/drawing/2014/chart" uri="{C3380CC4-5D6E-409C-BE32-E72D297353CC}">
              <c16:uniqueId val="{00000004-E8AF-4CDE-81F7-DEA4F4944A5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4197666753924223"/>
          <c:y val="0.72519541168471613"/>
          <c:w val="0.30424120268968868"/>
          <c:h val="0.17084381468323798"/>
        </c:manualLayout>
      </c:layout>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project-1.xlsx]Sheet1!PivotTable10</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600">
                <a:solidFill>
                  <a:schemeClr val="tx1"/>
                </a:solidFill>
              </a:rPr>
              <a:t>Gender</a:t>
            </a:r>
            <a:r>
              <a:rPr lang="en-US" sz="600" baseline="0">
                <a:solidFill>
                  <a:schemeClr val="tx1"/>
                </a:solidFill>
              </a:rPr>
              <a:t> Wise Analysis</a:t>
            </a:r>
            <a:endParaRPr lang="en-US" sz="6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50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9.9085796883836105E-2"/>
          <c:y val="0.19353352501828944"/>
          <c:w val="0.51266977535539482"/>
          <c:h val="0.57252802967147021"/>
        </c:manualLayout>
      </c:layout>
      <c:doughnutChart>
        <c:varyColors val="1"/>
        <c:ser>
          <c:idx val="0"/>
          <c:order val="0"/>
          <c:tx>
            <c:strRef>
              <c:f>Sheet1!$C$36</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EE-44B2-85EA-2FC2240D507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EE-44B2-85EA-2FC2240D507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EE-44B2-85EA-2FC2240D50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Sheet1!$B$37:$B$40</c:f>
              <c:strCache>
                <c:ptCount val="3"/>
                <c:pt idx="0">
                  <c:v>Female</c:v>
                </c:pt>
                <c:pt idx="1">
                  <c:v>Femaleemale</c:v>
                </c:pt>
                <c:pt idx="2">
                  <c:v>Male</c:v>
                </c:pt>
              </c:strCache>
            </c:strRef>
          </c:cat>
          <c:val>
            <c:numRef>
              <c:f>Sheet1!$C$37:$C$40</c:f>
              <c:numCache>
                <c:formatCode>General</c:formatCode>
                <c:ptCount val="3"/>
                <c:pt idx="0">
                  <c:v>239</c:v>
                </c:pt>
                <c:pt idx="1">
                  <c:v>2</c:v>
                </c:pt>
                <c:pt idx="2">
                  <c:v>272</c:v>
                </c:pt>
              </c:numCache>
            </c:numRef>
          </c:val>
          <c:extLst>
            <c:ext xmlns:c16="http://schemas.microsoft.com/office/drawing/2014/chart" uri="{C3380CC4-5D6E-409C-BE32-E72D297353CC}">
              <c16:uniqueId val="{00000006-0AEE-44B2-85EA-2FC2240D507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1"/>
        <c:delete val="1"/>
      </c:legendEntry>
      <c:layout>
        <c:manualLayout>
          <c:xMode val="edge"/>
          <c:yMode val="edge"/>
          <c:x val="0.18057260291071411"/>
          <c:y val="0.80956234106486435"/>
          <c:w val="0.55679072518210548"/>
          <c:h val="0.10541368948749984"/>
        </c:manualLayout>
      </c:layout>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project-1.xlsx]Sheet1!PivotTable11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tx1">
                    <a:lumMod val="95000"/>
                    <a:lumOff val="5000"/>
                  </a:schemeClr>
                </a:solidFill>
              </a:rPr>
              <a:t>Patient</a:t>
            </a:r>
            <a:r>
              <a:rPr lang="en-US" sz="800" b="1" baseline="0">
                <a:solidFill>
                  <a:schemeClr val="tx1">
                    <a:lumMod val="95000"/>
                    <a:lumOff val="5000"/>
                  </a:schemeClr>
                </a:solidFill>
              </a:rPr>
              <a:t> by Department</a:t>
            </a:r>
            <a:endParaRPr lang="en-US" sz="800" b="1">
              <a:solidFill>
                <a:schemeClr val="tx1">
                  <a:lumMod val="95000"/>
                  <a:lumOff val="5000"/>
                </a:schemeClr>
              </a:solidFill>
            </a:endParaRPr>
          </a:p>
        </c:rich>
      </c:tx>
      <c:layout>
        <c:manualLayout>
          <c:xMode val="edge"/>
          <c:yMode val="edge"/>
          <c:x val="0.26470275678659783"/>
          <c:y val="9.78072939596936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4058684044392"/>
          <c:y val="0.26457794255262113"/>
          <c:w val="0.64076471456587281"/>
          <c:h val="0.5292153776270323"/>
        </c:manualLayout>
      </c:layout>
      <c:barChart>
        <c:barDir val="bar"/>
        <c:grouping val="clustered"/>
        <c:varyColors val="0"/>
        <c:ser>
          <c:idx val="0"/>
          <c:order val="0"/>
          <c:tx>
            <c:strRef>
              <c:f>Sheet1!$F$38</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Sheet1!$E$39:$E$47</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Sheet1!$F$39:$F$47</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FDF-4AD5-A7D5-0E2C2FEA755C}"/>
            </c:ext>
          </c:extLst>
        </c:ser>
        <c:dLbls>
          <c:showLegendKey val="0"/>
          <c:showVal val="0"/>
          <c:showCatName val="0"/>
          <c:showSerName val="0"/>
          <c:showPercent val="0"/>
          <c:showBubbleSize val="0"/>
        </c:dLbls>
        <c:gapWidth val="182"/>
        <c:axId val="1091303263"/>
        <c:axId val="1091306623"/>
      </c:barChart>
      <c:catAx>
        <c:axId val="109130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crossAx val="1091306623"/>
        <c:crosses val="autoZero"/>
        <c:auto val="1"/>
        <c:lblAlgn val="ctr"/>
        <c:lblOffset val="100"/>
        <c:noMultiLvlLbl val="0"/>
      </c:catAx>
      <c:valAx>
        <c:axId val="109130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project-1.xlsx]Sheet1!PivotTable6</c:name>
    <c:fmtId val="2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Patient Satisfiction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Sheet1!$T$6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Sheet1!$S$7:$S$38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Sheet1!$T$7:$T$38</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0-D3BF-4ED6-806D-C845E7DFDD0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9327391"/>
        <c:axId val="59332191"/>
      </c:areaChart>
      <c:catAx>
        <c:axId val="593273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59332191"/>
        <c:crosses val="autoZero"/>
        <c:auto val="1"/>
        <c:lblAlgn val="ctr"/>
        <c:lblOffset val="100"/>
        <c:noMultiLvlLbl val="0"/>
      </c:catAx>
      <c:valAx>
        <c:axId val="593321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327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project-1.xlsx]Sheet1!PivotTable5</c:name>
    <c:fmtId val="2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Average wait time</a:t>
            </a:r>
          </a:p>
        </c:rich>
      </c:tx>
      <c:layout>
        <c:manualLayout>
          <c:xMode val="edge"/>
          <c:yMode val="edge"/>
          <c:x val="0.43308698696731995"/>
          <c:y val="4.44444444444444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48035022493584E-2"/>
          <c:y val="0.20987654320987653"/>
          <c:w val="0.87447942327746442"/>
          <c:h val="0.60004121707008851"/>
        </c:manualLayout>
      </c:layout>
      <c:areaChart>
        <c:grouping val="standard"/>
        <c:varyColors val="0"/>
        <c:ser>
          <c:idx val="0"/>
          <c:order val="0"/>
          <c:tx>
            <c:strRef>
              <c:f>Sheet1!$O$6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cap="flat" cmpd="sng" algn="ctr">
                <a:solidFill>
                  <a:schemeClr val="lt1">
                    <a:alpha val="40000"/>
                  </a:schemeClr>
                </a:solidFill>
                <a:round/>
              </a:ln>
              <a:effectLst/>
            </c:spPr>
          </c:errBars>
          <c:cat>
            <c:strRef>
              <c:f>Sheet1!$N$7:$N$38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Sheet1!$O$7:$O$38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B89-4474-B91E-9B2BA6D1C16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76162383"/>
        <c:axId val="676161423"/>
      </c:areaChart>
      <c:catAx>
        <c:axId val="67616238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76161423"/>
        <c:crosses val="autoZero"/>
        <c:auto val="1"/>
        <c:lblAlgn val="ctr"/>
        <c:lblOffset val="100"/>
        <c:noMultiLvlLbl val="0"/>
      </c:catAx>
      <c:valAx>
        <c:axId val="6761614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6162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project-1.xlsx]Sheet1!PivotTable4</c:name>
    <c:fmtId val="11"/>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No of patient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46801346801348E-2"/>
          <c:y val="0.13193144974525242"/>
          <c:w val="0.87555563473752662"/>
          <c:h val="0.64972639161167067"/>
        </c:manualLayout>
      </c:layout>
      <c:areaChart>
        <c:grouping val="standard"/>
        <c:varyColors val="0"/>
        <c:ser>
          <c:idx val="0"/>
          <c:order val="0"/>
          <c:tx>
            <c:strRef>
              <c:f>Sheet1!$I$6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cap="flat" cmpd="sng" algn="ctr">
                <a:solidFill>
                  <a:schemeClr val="lt1">
                    <a:alpha val="40000"/>
                  </a:schemeClr>
                </a:solidFill>
                <a:round/>
              </a:ln>
              <a:effectLst/>
            </c:spPr>
          </c:errBars>
          <c:cat>
            <c:strRef>
              <c:f>Sheet1!$H$7:$H$38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Sheet1!$I$7:$I$38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9EC-4C61-A61B-26002241D6B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76133103"/>
        <c:axId val="676118703"/>
      </c:areaChart>
      <c:catAx>
        <c:axId val="67613310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76118703"/>
        <c:crosses val="autoZero"/>
        <c:auto val="1"/>
        <c:lblAlgn val="ctr"/>
        <c:lblOffset val="100"/>
        <c:noMultiLvlLbl val="0"/>
      </c:catAx>
      <c:valAx>
        <c:axId val="6761187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6133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No of Patient'!A1"/><Relationship Id="rId12" Type="http://schemas.openxmlformats.org/officeDocument/2006/relationships/chart" Target="../charts/chart5.xml"/><Relationship Id="rId17" Type="http://schemas.openxmlformats.org/officeDocument/2006/relationships/image" Target="../media/image7.emf"/><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atient satisfaction'!A1"/><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hyperlink" Target="#'Average wait time'!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ad!A1"/><Relationship Id="rId1" Type="http://schemas.openxmlformats.org/officeDocument/2006/relationships/chart" Target="../charts/chart10.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ad!A1"/><Relationship Id="rId1" Type="http://schemas.openxmlformats.org/officeDocument/2006/relationships/chart" Target="../charts/chart11.xml"/><Relationship Id="rId4" Type="http://schemas.openxmlformats.org/officeDocument/2006/relationships/image" Target="../media/image10.sv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ad!A1"/><Relationship Id="rId1" Type="http://schemas.openxmlformats.org/officeDocument/2006/relationships/chart" Target="../charts/chart12.xml"/><Relationship Id="rId4" Type="http://schemas.openxmlformats.org/officeDocument/2006/relationships/image" Target="../media/image1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9</xdr:col>
      <xdr:colOff>19051</xdr:colOff>
      <xdr:row>63</xdr:row>
      <xdr:rowOff>38100</xdr:rowOff>
    </xdr:from>
    <xdr:to>
      <xdr:col>9</xdr:col>
      <xdr:colOff>1457325</xdr:colOff>
      <xdr:row>66</xdr:row>
      <xdr:rowOff>9525</xdr:rowOff>
    </xdr:to>
    <xdr:graphicFrame macro="">
      <xdr:nvGraphicFramePr>
        <xdr:cNvPr id="6" name="Chart 5">
          <a:extLst>
            <a:ext uri="{FF2B5EF4-FFF2-40B4-BE49-F238E27FC236}">
              <a16:creationId xmlns:a16="http://schemas.microsoft.com/office/drawing/2014/main" id="{3674D8FD-9B2E-896B-2A2C-C12729295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1538287</xdr:colOff>
      <xdr:row>24</xdr:row>
      <xdr:rowOff>95250</xdr:rowOff>
    </xdr:from>
    <xdr:to>
      <xdr:col>3</xdr:col>
      <xdr:colOff>1414462</xdr:colOff>
      <xdr:row>38</xdr:row>
      <xdr:rowOff>171450</xdr:rowOff>
    </xdr:to>
    <xdr:graphicFrame macro="">
      <xdr:nvGraphicFramePr>
        <xdr:cNvPr id="10" name="Chart 9">
          <a:extLst>
            <a:ext uri="{FF2B5EF4-FFF2-40B4-BE49-F238E27FC236}">
              <a16:creationId xmlns:a16="http://schemas.microsoft.com/office/drawing/2014/main" id="{7CF0361F-394E-6806-D4E1-5A59E1A04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169135</xdr:colOff>
      <xdr:row>0</xdr:row>
      <xdr:rowOff>120862</xdr:rowOff>
    </xdr:from>
    <xdr:to>
      <xdr:col>4</xdr:col>
      <xdr:colOff>422839</xdr:colOff>
      <xdr:row>3</xdr:row>
      <xdr:rowOff>4750</xdr:rowOff>
    </xdr:to>
    <xdr:sp macro="" textlink="">
      <xdr:nvSpPr>
        <xdr:cNvPr id="2" name="Rectangle: Rounded Corners 1">
          <a:extLst>
            <a:ext uri="{FF2B5EF4-FFF2-40B4-BE49-F238E27FC236}">
              <a16:creationId xmlns:a16="http://schemas.microsoft.com/office/drawing/2014/main" id="{69745F6A-17EF-2B5D-3E10-DD8E4C945041}"/>
            </a:ext>
          </a:extLst>
        </xdr:cNvPr>
        <xdr:cNvSpPr/>
      </xdr:nvSpPr>
      <xdr:spPr>
        <a:xfrm>
          <a:off x="169135" y="120862"/>
          <a:ext cx="2697074" cy="45849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a:solidFill>
                <a:schemeClr val="tx1"/>
              </a:solidFill>
              <a:latin typeface="Arial" panose="020B0604020202020204" pitchFamily="34" charset="0"/>
              <a:cs typeface="Arial" panose="020B0604020202020204" pitchFamily="34" charset="0"/>
            </a:rPr>
            <a:t>Hospital</a:t>
          </a:r>
          <a:r>
            <a:rPr lang="en-IN" sz="1050" baseline="0">
              <a:solidFill>
                <a:schemeClr val="tx1"/>
              </a:solidFill>
              <a:latin typeface="Arial" panose="020B0604020202020204" pitchFamily="34" charset="0"/>
              <a:cs typeface="Arial" panose="020B0604020202020204" pitchFamily="34" charset="0"/>
            </a:rPr>
            <a:t> emergancy Room Dashboard</a:t>
          </a:r>
          <a:endParaRPr lang="en-IN" sz="1050">
            <a:solidFill>
              <a:schemeClr val="tx1"/>
            </a:solidFill>
            <a:latin typeface="Arial" panose="020B0604020202020204" pitchFamily="34" charset="0"/>
            <a:cs typeface="Arial" panose="020B0604020202020204" pitchFamily="34" charset="0"/>
          </a:endParaRPr>
        </a:p>
      </xdr:txBody>
    </xdr:sp>
    <xdr:clientData/>
  </xdr:twoCellAnchor>
  <xdr:twoCellAnchor editAs="absolute">
    <xdr:from>
      <xdr:col>4</xdr:col>
      <xdr:colOff>463816</xdr:colOff>
      <xdr:row>0</xdr:row>
      <xdr:rowOff>116449</xdr:rowOff>
    </xdr:from>
    <xdr:to>
      <xdr:col>6</xdr:col>
      <xdr:colOff>107741</xdr:colOff>
      <xdr:row>3</xdr:row>
      <xdr:rowOff>581</xdr:rowOff>
    </xdr:to>
    <xdr:sp macro="" textlink="">
      <xdr:nvSpPr>
        <xdr:cNvPr id="3" name="Rectangle: Rounded Corners 2">
          <a:extLst>
            <a:ext uri="{FF2B5EF4-FFF2-40B4-BE49-F238E27FC236}">
              <a16:creationId xmlns:a16="http://schemas.microsoft.com/office/drawing/2014/main" id="{5A3C69F1-9C7D-372A-98BC-174BA615E386}"/>
            </a:ext>
          </a:extLst>
        </xdr:cNvPr>
        <xdr:cNvSpPr/>
      </xdr:nvSpPr>
      <xdr:spPr>
        <a:xfrm>
          <a:off x="2907186" y="116449"/>
          <a:ext cx="865609" cy="458738"/>
        </a:xfrm>
        <a:prstGeom prst="roundRect">
          <a:avLst>
            <a:gd name="adj" fmla="val 89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211977</xdr:colOff>
      <xdr:row>0</xdr:row>
      <xdr:rowOff>150860</xdr:rowOff>
    </xdr:from>
    <xdr:to>
      <xdr:col>9</xdr:col>
      <xdr:colOff>41412</xdr:colOff>
      <xdr:row>14</xdr:row>
      <xdr:rowOff>181180</xdr:rowOff>
    </xdr:to>
    <xdr:grpSp>
      <xdr:nvGrpSpPr>
        <xdr:cNvPr id="6" name="Group 5">
          <a:extLst>
            <a:ext uri="{FF2B5EF4-FFF2-40B4-BE49-F238E27FC236}">
              <a16:creationId xmlns:a16="http://schemas.microsoft.com/office/drawing/2014/main" id="{D60F340F-8309-9E37-9D8B-1D4C1DA2555E}"/>
            </a:ext>
          </a:extLst>
        </xdr:cNvPr>
        <xdr:cNvGrpSpPr/>
      </xdr:nvGrpSpPr>
      <xdr:grpSpPr>
        <a:xfrm>
          <a:off x="3877031" y="150860"/>
          <a:ext cx="1661963" cy="2711815"/>
          <a:chOff x="4115747" y="165823"/>
          <a:chExt cx="863481" cy="1014750"/>
        </a:xfrm>
      </xdr:grpSpPr>
      <xdr:sp macro="" textlink="">
        <xdr:nvSpPr>
          <xdr:cNvPr id="4" name="Rectangle: Rounded Corners 3">
            <a:extLst>
              <a:ext uri="{FF2B5EF4-FFF2-40B4-BE49-F238E27FC236}">
                <a16:creationId xmlns:a16="http://schemas.microsoft.com/office/drawing/2014/main" id="{8689ABC3-0053-227A-4785-8A2EABE513A1}"/>
              </a:ext>
            </a:extLst>
          </xdr:cNvPr>
          <xdr:cNvSpPr/>
        </xdr:nvSpPr>
        <xdr:spPr>
          <a:xfrm>
            <a:off x="4125929" y="165823"/>
            <a:ext cx="838221" cy="491741"/>
          </a:xfrm>
          <a:prstGeom prst="roundRect">
            <a:avLst>
              <a:gd name="adj" fmla="val 8395"/>
            </a:avLst>
          </a:prstGeom>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76B70E0-CF6C-8CE9-97CE-02FC7F31ED3F}"/>
              </a:ext>
            </a:extLst>
          </xdr:cNvPr>
          <xdr:cNvSpPr/>
        </xdr:nvSpPr>
        <xdr:spPr>
          <a:xfrm>
            <a:off x="4115747" y="693070"/>
            <a:ext cx="863481" cy="487503"/>
          </a:xfrm>
          <a:prstGeom prst="roundRect">
            <a:avLst>
              <a:gd name="adj" fmla="val 12019"/>
            </a:avLst>
          </a:prstGeom>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160960</xdr:colOff>
      <xdr:row>3</xdr:row>
      <xdr:rowOff>59267</xdr:rowOff>
    </xdr:from>
    <xdr:to>
      <xdr:col>1</xdr:col>
      <xdr:colOff>262741</xdr:colOff>
      <xdr:row>15</xdr:row>
      <xdr:rowOff>137022</xdr:rowOff>
    </xdr:to>
    <xdr:sp macro="" textlink="">
      <xdr:nvSpPr>
        <xdr:cNvPr id="7" name="Rectangle: Rounded Corners 6">
          <a:extLst>
            <a:ext uri="{FF2B5EF4-FFF2-40B4-BE49-F238E27FC236}">
              <a16:creationId xmlns:a16="http://schemas.microsoft.com/office/drawing/2014/main" id="{C7ED8D5B-F7D1-CE5A-9CE3-528F4BAA6CEF}"/>
            </a:ext>
          </a:extLst>
        </xdr:cNvPr>
        <xdr:cNvSpPr/>
      </xdr:nvSpPr>
      <xdr:spPr>
        <a:xfrm>
          <a:off x="160960" y="633873"/>
          <a:ext cx="712623" cy="2376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editAs="absolute">
    <xdr:from>
      <xdr:col>1</xdr:col>
      <xdr:colOff>350228</xdr:colOff>
      <xdr:row>3</xdr:row>
      <xdr:rowOff>71037</xdr:rowOff>
    </xdr:from>
    <xdr:to>
      <xdr:col>2</xdr:col>
      <xdr:colOff>603931</xdr:colOff>
      <xdr:row>6</xdr:row>
      <xdr:rowOff>13175</xdr:rowOff>
    </xdr:to>
    <xdr:sp macro="" textlink="">
      <xdr:nvSpPr>
        <xdr:cNvPr id="8" name="Rectangle: Rounded Corners 7">
          <a:extLst>
            <a:ext uri="{FF2B5EF4-FFF2-40B4-BE49-F238E27FC236}">
              <a16:creationId xmlns:a16="http://schemas.microsoft.com/office/drawing/2014/main" id="{F0DCA1EE-27A5-6DE3-8F1E-C52559F84FE3}"/>
            </a:ext>
          </a:extLst>
        </xdr:cNvPr>
        <xdr:cNvSpPr/>
      </xdr:nvSpPr>
      <xdr:spPr>
        <a:xfrm>
          <a:off x="957690" y="639621"/>
          <a:ext cx="861164" cy="5107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3</xdr:col>
      <xdr:colOff>28808</xdr:colOff>
      <xdr:row>3</xdr:row>
      <xdr:rowOff>91042</xdr:rowOff>
    </xdr:from>
    <xdr:to>
      <xdr:col>4</xdr:col>
      <xdr:colOff>282809</xdr:colOff>
      <xdr:row>5</xdr:row>
      <xdr:rowOff>189528</xdr:rowOff>
    </xdr:to>
    <xdr:sp macro="" textlink="">
      <xdr:nvSpPr>
        <xdr:cNvPr id="9" name="Rectangle: Rounded Corners 8">
          <a:extLst>
            <a:ext uri="{FF2B5EF4-FFF2-40B4-BE49-F238E27FC236}">
              <a16:creationId xmlns:a16="http://schemas.microsoft.com/office/drawing/2014/main" id="{0AFB98A9-281F-4018-227F-920EFD567523}"/>
            </a:ext>
          </a:extLst>
        </xdr:cNvPr>
        <xdr:cNvSpPr/>
      </xdr:nvSpPr>
      <xdr:spPr>
        <a:xfrm>
          <a:off x="1851193" y="659626"/>
          <a:ext cx="861463" cy="477542"/>
        </a:xfrm>
        <a:prstGeom prst="roundRect">
          <a:avLst>
            <a:gd name="adj" fmla="val 1127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800"/>
        </a:p>
      </xdr:txBody>
    </xdr:sp>
    <xdr:clientData/>
  </xdr:twoCellAnchor>
  <xdr:twoCellAnchor editAs="absolute">
    <xdr:from>
      <xdr:col>4</xdr:col>
      <xdr:colOff>311217</xdr:colOff>
      <xdr:row>3</xdr:row>
      <xdr:rowOff>81605</xdr:rowOff>
    </xdr:from>
    <xdr:to>
      <xdr:col>6</xdr:col>
      <xdr:colOff>53061</xdr:colOff>
      <xdr:row>5</xdr:row>
      <xdr:rowOff>186566</xdr:rowOff>
    </xdr:to>
    <xdr:sp macro="" textlink="">
      <xdr:nvSpPr>
        <xdr:cNvPr id="10" name="Rectangle: Rounded Corners 9">
          <a:extLst>
            <a:ext uri="{FF2B5EF4-FFF2-40B4-BE49-F238E27FC236}">
              <a16:creationId xmlns:a16="http://schemas.microsoft.com/office/drawing/2014/main" id="{E478E0CA-AFEA-9BD1-8E15-D3725E29BF5C}"/>
            </a:ext>
          </a:extLst>
        </xdr:cNvPr>
        <xdr:cNvSpPr/>
      </xdr:nvSpPr>
      <xdr:spPr>
        <a:xfrm>
          <a:off x="2741064" y="650189"/>
          <a:ext cx="956767" cy="4840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136916</xdr:colOff>
      <xdr:row>8</xdr:row>
      <xdr:rowOff>101653</xdr:rowOff>
    </xdr:from>
    <xdr:to>
      <xdr:col>13</xdr:col>
      <xdr:colOff>359256</xdr:colOff>
      <xdr:row>14</xdr:row>
      <xdr:rowOff>82826</xdr:rowOff>
    </xdr:to>
    <xdr:sp macro="" textlink="">
      <xdr:nvSpPr>
        <xdr:cNvPr id="12" name="Rectangle: Rounded Corners 11">
          <a:extLst>
            <a:ext uri="{FF2B5EF4-FFF2-40B4-BE49-F238E27FC236}">
              <a16:creationId xmlns:a16="http://schemas.microsoft.com/office/drawing/2014/main" id="{C5332626-B970-03B4-233A-A5A6E89BF3FA}"/>
            </a:ext>
          </a:extLst>
        </xdr:cNvPr>
        <xdr:cNvSpPr/>
      </xdr:nvSpPr>
      <xdr:spPr>
        <a:xfrm>
          <a:off x="5634498" y="1633936"/>
          <a:ext cx="2665709" cy="1130385"/>
        </a:xfrm>
        <a:prstGeom prst="roundRect">
          <a:avLst>
            <a:gd name="adj" fmla="val 596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123786</xdr:colOff>
      <xdr:row>0</xdr:row>
      <xdr:rowOff>119061</xdr:rowOff>
    </xdr:from>
    <xdr:to>
      <xdr:col>13</xdr:col>
      <xdr:colOff>377895</xdr:colOff>
      <xdr:row>7</xdr:row>
      <xdr:rowOff>191535</xdr:rowOff>
    </xdr:to>
    <xdr:sp macro="" textlink="">
      <xdr:nvSpPr>
        <xdr:cNvPr id="13" name="Rectangle: Rounded Corners 12">
          <a:extLst>
            <a:ext uri="{FF2B5EF4-FFF2-40B4-BE49-F238E27FC236}">
              <a16:creationId xmlns:a16="http://schemas.microsoft.com/office/drawing/2014/main" id="{1FD6F188-A82C-0BD4-2D4F-E6F2AA5295DE}"/>
            </a:ext>
          </a:extLst>
        </xdr:cNvPr>
        <xdr:cNvSpPr/>
      </xdr:nvSpPr>
      <xdr:spPr>
        <a:xfrm>
          <a:off x="5621368" y="119061"/>
          <a:ext cx="2697478" cy="1413221"/>
        </a:xfrm>
        <a:prstGeom prst="roundRect">
          <a:avLst>
            <a:gd name="adj" fmla="val 526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393147</xdr:colOff>
      <xdr:row>1</xdr:row>
      <xdr:rowOff>175797</xdr:rowOff>
    </xdr:from>
    <xdr:ext cx="1070884" cy="155395"/>
    <xdr:sp macro="" textlink="">
      <xdr:nvSpPr>
        <xdr:cNvPr id="15" name="TextBox 14">
          <a:extLst>
            <a:ext uri="{FF2B5EF4-FFF2-40B4-BE49-F238E27FC236}">
              <a16:creationId xmlns:a16="http://schemas.microsoft.com/office/drawing/2014/main" id="{961B4876-7E6F-08CC-9B49-9D248EEBEE66}"/>
            </a:ext>
          </a:extLst>
        </xdr:cNvPr>
        <xdr:cNvSpPr txBox="1"/>
      </xdr:nvSpPr>
      <xdr:spPr>
        <a:xfrm>
          <a:off x="1003989" y="367332"/>
          <a:ext cx="1070884" cy="155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IN" sz="1100"/>
            <a:t>Monthly Report</a:t>
          </a:r>
        </a:p>
      </xdr:txBody>
    </xdr:sp>
    <xdr:clientData/>
  </xdr:oneCellAnchor>
  <xdr:oneCellAnchor>
    <xdr:from>
      <xdr:col>1</xdr:col>
      <xdr:colOff>342918</xdr:colOff>
      <xdr:row>3</xdr:row>
      <xdr:rowOff>131722</xdr:rowOff>
    </xdr:from>
    <xdr:ext cx="824648" cy="195998"/>
    <xdr:sp macro="" textlink="">
      <xdr:nvSpPr>
        <xdr:cNvPr id="17" name="TextBox 16">
          <a:extLst>
            <a:ext uri="{FF2B5EF4-FFF2-40B4-BE49-F238E27FC236}">
              <a16:creationId xmlns:a16="http://schemas.microsoft.com/office/drawing/2014/main" id="{2C7B48B6-7CA5-2CF4-EDA7-07F3470AFB70}"/>
            </a:ext>
          </a:extLst>
        </xdr:cNvPr>
        <xdr:cNvSpPr txBox="1"/>
      </xdr:nvSpPr>
      <xdr:spPr>
        <a:xfrm>
          <a:off x="950380" y="700306"/>
          <a:ext cx="824648" cy="195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700">
              <a:latin typeface="Bahnschrift" panose="020B0502040204020203" pitchFamily="34" charset="0"/>
            </a:rPr>
            <a:t>No of</a:t>
          </a:r>
          <a:r>
            <a:rPr lang="en-IN" sz="700" baseline="0">
              <a:latin typeface="Bahnschrift" panose="020B0502040204020203" pitchFamily="34" charset="0"/>
            </a:rPr>
            <a:t> Patient</a:t>
          </a:r>
          <a:endParaRPr lang="en-IN" sz="700">
            <a:latin typeface="Bahnschrift" panose="020B0502040204020203" pitchFamily="34" charset="0"/>
          </a:endParaRPr>
        </a:p>
      </xdr:txBody>
    </xdr:sp>
    <xdr:clientData/>
  </xdr:oneCellAnchor>
  <xdr:oneCellAnchor>
    <xdr:from>
      <xdr:col>1</xdr:col>
      <xdr:colOff>240364</xdr:colOff>
      <xdr:row>4</xdr:row>
      <xdr:rowOff>154313</xdr:rowOff>
    </xdr:from>
    <xdr:ext cx="824648" cy="129898"/>
    <xdr:sp macro="" textlink="Sheet1!C19">
      <xdr:nvSpPr>
        <xdr:cNvPr id="19" name="TextBox 18">
          <a:extLst>
            <a:ext uri="{FF2B5EF4-FFF2-40B4-BE49-F238E27FC236}">
              <a16:creationId xmlns:a16="http://schemas.microsoft.com/office/drawing/2014/main" id="{884847D0-9759-0B2A-DB02-6B6524068548}"/>
            </a:ext>
          </a:extLst>
        </xdr:cNvPr>
        <xdr:cNvSpPr txBox="1"/>
      </xdr:nvSpPr>
      <xdr:spPr>
        <a:xfrm>
          <a:off x="847826" y="912425"/>
          <a:ext cx="824648" cy="129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5913159-B278-4DEC-B790-6DA89B6BD9F0}" type="TxLink">
            <a:rPr lang="en-US" sz="1100" b="0" i="0" u="none" strike="noStrike">
              <a:solidFill>
                <a:schemeClr val="bg2"/>
              </a:solidFill>
              <a:latin typeface="Calibri"/>
              <a:ea typeface="Calibri"/>
              <a:cs typeface="Calibri"/>
            </a:rPr>
            <a:pPr algn="ctr"/>
            <a:t>513</a:t>
          </a:fld>
          <a:endParaRPr lang="en-IN" sz="800">
            <a:solidFill>
              <a:schemeClr val="bg2"/>
            </a:solidFill>
          </a:endParaRPr>
        </a:p>
      </xdr:txBody>
    </xdr:sp>
    <xdr:clientData/>
  </xdr:oneCellAnchor>
  <xdr:oneCellAnchor>
    <xdr:from>
      <xdr:col>3</xdr:col>
      <xdr:colOff>69817</xdr:colOff>
      <xdr:row>3</xdr:row>
      <xdr:rowOff>135428</xdr:rowOff>
    </xdr:from>
    <xdr:ext cx="824648" cy="195998"/>
    <xdr:sp macro="" textlink="">
      <xdr:nvSpPr>
        <xdr:cNvPr id="20" name="TextBox 19">
          <a:extLst>
            <a:ext uri="{FF2B5EF4-FFF2-40B4-BE49-F238E27FC236}">
              <a16:creationId xmlns:a16="http://schemas.microsoft.com/office/drawing/2014/main" id="{0AE6F5C9-40F0-3D2C-082F-A24DD3882CE2}"/>
            </a:ext>
          </a:extLst>
        </xdr:cNvPr>
        <xdr:cNvSpPr txBox="1"/>
      </xdr:nvSpPr>
      <xdr:spPr>
        <a:xfrm>
          <a:off x="1892202" y="704012"/>
          <a:ext cx="824648" cy="195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700">
              <a:latin typeface="Bahnschrift" panose="020B0502040204020203" pitchFamily="34" charset="0"/>
            </a:rPr>
            <a:t>Average</a:t>
          </a:r>
          <a:r>
            <a:rPr lang="en-IN" sz="700" baseline="0">
              <a:latin typeface="Bahnschrift" panose="020B0502040204020203" pitchFamily="34" charset="0"/>
            </a:rPr>
            <a:t> Wait time</a:t>
          </a:r>
          <a:endParaRPr lang="en-IN" sz="700">
            <a:latin typeface="Bahnschrift" panose="020B0502040204020203" pitchFamily="34" charset="0"/>
          </a:endParaRPr>
        </a:p>
      </xdr:txBody>
    </xdr:sp>
    <xdr:clientData/>
  </xdr:oneCellAnchor>
  <xdr:oneCellAnchor>
    <xdr:from>
      <xdr:col>4</xdr:col>
      <xdr:colOff>396057</xdr:colOff>
      <xdr:row>3</xdr:row>
      <xdr:rowOff>137601</xdr:rowOff>
    </xdr:from>
    <xdr:ext cx="824648" cy="195998"/>
    <xdr:sp macro="" textlink="">
      <xdr:nvSpPr>
        <xdr:cNvPr id="21" name="TextBox 20">
          <a:extLst>
            <a:ext uri="{FF2B5EF4-FFF2-40B4-BE49-F238E27FC236}">
              <a16:creationId xmlns:a16="http://schemas.microsoft.com/office/drawing/2014/main" id="{0132DBD1-D4AF-3046-DDC2-A1770981C3C4}"/>
            </a:ext>
          </a:extLst>
        </xdr:cNvPr>
        <xdr:cNvSpPr txBox="1"/>
      </xdr:nvSpPr>
      <xdr:spPr>
        <a:xfrm>
          <a:off x="2825904" y="706185"/>
          <a:ext cx="824648" cy="195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700">
              <a:latin typeface="Bahnschrift" panose="020B0502040204020203" pitchFamily="34" charset="0"/>
            </a:rPr>
            <a:t>patient</a:t>
          </a:r>
          <a:r>
            <a:rPr lang="en-IN" sz="700" baseline="0">
              <a:latin typeface="Bahnschrift" panose="020B0502040204020203" pitchFamily="34" charset="0"/>
            </a:rPr>
            <a:t> Satisfaction</a:t>
          </a:r>
          <a:endParaRPr lang="en-IN" sz="700">
            <a:latin typeface="Bahnschrift" panose="020B0502040204020203" pitchFamily="34" charset="0"/>
          </a:endParaRPr>
        </a:p>
      </xdr:txBody>
    </xdr:sp>
    <xdr:clientData/>
  </xdr:oneCellAnchor>
  <xdr:oneCellAnchor>
    <xdr:from>
      <xdr:col>2</xdr:col>
      <xdr:colOff>566374</xdr:colOff>
      <xdr:row>4</xdr:row>
      <xdr:rowOff>153160</xdr:rowOff>
    </xdr:from>
    <xdr:ext cx="824648" cy="129898"/>
    <xdr:sp macro="" textlink="Sheet1!A12">
      <xdr:nvSpPr>
        <xdr:cNvPr id="22" name="TextBox 21">
          <a:extLst>
            <a:ext uri="{FF2B5EF4-FFF2-40B4-BE49-F238E27FC236}">
              <a16:creationId xmlns:a16="http://schemas.microsoft.com/office/drawing/2014/main" id="{0DB76804-1BB9-86AA-2D37-EB26881AA675}"/>
            </a:ext>
          </a:extLst>
        </xdr:cNvPr>
        <xdr:cNvSpPr txBox="1"/>
      </xdr:nvSpPr>
      <xdr:spPr>
        <a:xfrm>
          <a:off x="1781297" y="911272"/>
          <a:ext cx="824648" cy="129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1CDC7982-EB71-430A-B9F4-98F6B369D79F}" type="TxLink">
            <a:rPr lang="en-US" sz="1100" b="0" i="0" u="none" strike="noStrike">
              <a:solidFill>
                <a:schemeClr val="bg1"/>
              </a:solidFill>
              <a:latin typeface="Calibri"/>
              <a:ea typeface="Calibri"/>
              <a:cs typeface="Calibri"/>
            </a:rPr>
            <a:pPr algn="ctr"/>
            <a:t>36.32</a:t>
          </a:fld>
          <a:endParaRPr lang="en-IN" sz="800">
            <a:solidFill>
              <a:schemeClr val="bg1"/>
            </a:solidFill>
          </a:endParaRPr>
        </a:p>
      </xdr:txBody>
    </xdr:sp>
    <xdr:clientData/>
  </xdr:oneCellAnchor>
  <xdr:oneCellAnchor>
    <xdr:from>
      <xdr:col>4</xdr:col>
      <xdr:colOff>195916</xdr:colOff>
      <xdr:row>4</xdr:row>
      <xdr:rowOff>148941</xdr:rowOff>
    </xdr:from>
    <xdr:ext cx="824648" cy="129898"/>
    <xdr:sp macro="" textlink="Sheet1!G59">
      <xdr:nvSpPr>
        <xdr:cNvPr id="23" name="TextBox 22">
          <a:extLst>
            <a:ext uri="{FF2B5EF4-FFF2-40B4-BE49-F238E27FC236}">
              <a16:creationId xmlns:a16="http://schemas.microsoft.com/office/drawing/2014/main" id="{684F93BA-F4BE-B341-4EC1-1369750C7A12}"/>
            </a:ext>
          </a:extLst>
        </xdr:cNvPr>
        <xdr:cNvSpPr txBox="1"/>
      </xdr:nvSpPr>
      <xdr:spPr>
        <a:xfrm>
          <a:off x="2625763" y="907053"/>
          <a:ext cx="824648" cy="129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FE170A7E-34F0-4BCD-8FE9-7A7DA9CB882C}" type="TxLink">
            <a:rPr lang="en-US" sz="1100" b="0" i="0" u="none" strike="noStrike">
              <a:solidFill>
                <a:schemeClr val="bg1"/>
              </a:solidFill>
              <a:latin typeface="Calibri"/>
              <a:ea typeface="Calibri"/>
              <a:cs typeface="Calibri"/>
            </a:rPr>
            <a:pPr algn="ctr"/>
            <a:t>admitted</a:t>
          </a:fld>
          <a:endParaRPr lang="en-IN" sz="800">
            <a:solidFill>
              <a:schemeClr val="bg1"/>
            </a:solidFill>
          </a:endParaRPr>
        </a:p>
      </xdr:txBody>
    </xdr:sp>
    <xdr:clientData/>
  </xdr:oneCellAnchor>
  <xdr:twoCellAnchor editAs="oneCell">
    <xdr:from>
      <xdr:col>5</xdr:col>
      <xdr:colOff>320087</xdr:colOff>
      <xdr:row>4</xdr:row>
      <xdr:rowOff>169306</xdr:rowOff>
    </xdr:from>
    <xdr:to>
      <xdr:col>5</xdr:col>
      <xdr:colOff>588994</xdr:colOff>
      <xdr:row>5</xdr:row>
      <xdr:rowOff>169307</xdr:rowOff>
    </xdr:to>
    <xdr:pic>
      <xdr:nvPicPr>
        <xdr:cNvPr id="25" name="Graphic 24" descr="Speech with solid fill">
          <a:extLst>
            <a:ext uri="{FF2B5EF4-FFF2-40B4-BE49-F238E27FC236}">
              <a16:creationId xmlns:a16="http://schemas.microsoft.com/office/drawing/2014/main" id="{97A4CC6E-8F71-1EB0-E87F-74E0E0C3F1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7396" y="927418"/>
          <a:ext cx="268907" cy="189529"/>
        </a:xfrm>
        <a:prstGeom prst="rect">
          <a:avLst/>
        </a:prstGeom>
      </xdr:spPr>
    </xdr:pic>
    <xdr:clientData/>
  </xdr:twoCellAnchor>
  <xdr:twoCellAnchor editAs="oneCell">
    <xdr:from>
      <xdr:col>2</xdr:col>
      <xdr:colOff>228732</xdr:colOff>
      <xdr:row>4</xdr:row>
      <xdr:rowOff>143799</xdr:rowOff>
    </xdr:from>
    <xdr:to>
      <xdr:col>2</xdr:col>
      <xdr:colOff>551559</xdr:colOff>
      <xdr:row>5</xdr:row>
      <xdr:rowOff>182411</xdr:rowOff>
    </xdr:to>
    <xdr:pic>
      <xdr:nvPicPr>
        <xdr:cNvPr id="27" name="Graphic 26" descr="Male profile with solid fill">
          <a:extLst>
            <a:ext uri="{FF2B5EF4-FFF2-40B4-BE49-F238E27FC236}">
              <a16:creationId xmlns:a16="http://schemas.microsoft.com/office/drawing/2014/main" id="{00C3736A-91CB-6696-A57D-E53712DBA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3655" y="901911"/>
          <a:ext cx="322827" cy="228140"/>
        </a:xfrm>
        <a:prstGeom prst="rect">
          <a:avLst/>
        </a:prstGeom>
      </xdr:spPr>
    </xdr:pic>
    <xdr:clientData/>
  </xdr:twoCellAnchor>
  <xdr:twoCellAnchor editAs="oneCell">
    <xdr:from>
      <xdr:col>3</xdr:col>
      <xdr:colOff>585708</xdr:colOff>
      <xdr:row>4</xdr:row>
      <xdr:rowOff>166502</xdr:rowOff>
    </xdr:from>
    <xdr:to>
      <xdr:col>4</xdr:col>
      <xdr:colOff>247343</xdr:colOff>
      <xdr:row>6</xdr:row>
      <xdr:rowOff>2546</xdr:rowOff>
    </xdr:to>
    <xdr:pic>
      <xdr:nvPicPr>
        <xdr:cNvPr id="29" name="Graphic 28" descr="Clock with solid fill">
          <a:extLst>
            <a:ext uri="{FF2B5EF4-FFF2-40B4-BE49-F238E27FC236}">
              <a16:creationId xmlns:a16="http://schemas.microsoft.com/office/drawing/2014/main" id="{4830848A-448D-F448-30B9-2C81F67D44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08093" y="924614"/>
          <a:ext cx="269097" cy="215100"/>
        </a:xfrm>
        <a:prstGeom prst="rect">
          <a:avLst/>
        </a:prstGeom>
      </xdr:spPr>
    </xdr:pic>
    <xdr:clientData/>
  </xdr:twoCellAnchor>
  <xdr:twoCellAnchor editAs="oneCell">
    <xdr:from>
      <xdr:col>0</xdr:col>
      <xdr:colOff>199246</xdr:colOff>
      <xdr:row>3</xdr:row>
      <xdr:rowOff>116633</xdr:rowOff>
    </xdr:from>
    <xdr:to>
      <xdr:col>1</xdr:col>
      <xdr:colOff>204106</xdr:colOff>
      <xdr:row>15</xdr:row>
      <xdr:rowOff>82615</xdr:rowOff>
    </xdr:to>
    <mc:AlternateContent xmlns:mc="http://schemas.openxmlformats.org/markup-compatibility/2006" xmlns:a14="http://schemas.microsoft.com/office/drawing/2010/main">
      <mc:Choice Requires="a14">
        <xdr:graphicFrame macro="">
          <xdr:nvGraphicFramePr>
            <xdr:cNvPr id="33" name="Column1 (Month) 1">
              <a:extLst>
                <a:ext uri="{FF2B5EF4-FFF2-40B4-BE49-F238E27FC236}">
                  <a16:creationId xmlns:a16="http://schemas.microsoft.com/office/drawing/2014/main" id="{1752B191-CA10-4741-BF38-6C74C7255AED}"/>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mlns="">
        <xdr:sp macro="" textlink="">
          <xdr:nvSpPr>
            <xdr:cNvPr id="0" name=""/>
            <xdr:cNvSpPr>
              <a:spLocks noTextEdit="1"/>
            </xdr:cNvSpPr>
          </xdr:nvSpPr>
          <xdr:spPr>
            <a:xfrm>
              <a:off x="199246" y="691239"/>
              <a:ext cx="615702" cy="2264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362575</xdr:colOff>
      <xdr:row>6</xdr:row>
      <xdr:rowOff>178327</xdr:rowOff>
    </xdr:from>
    <xdr:to>
      <xdr:col>2</xdr:col>
      <xdr:colOff>604082</xdr:colOff>
      <xdr:row>8</xdr:row>
      <xdr:rowOff>103425</xdr:rowOff>
    </xdr:to>
    <xdr:graphicFrame macro="">
      <xdr:nvGraphicFramePr>
        <xdr:cNvPr id="34" name="Chart 33">
          <a:hlinkClick xmlns:r="http://schemas.openxmlformats.org/officeDocument/2006/relationships" r:id="rId7"/>
          <a:extLst>
            <a:ext uri="{FF2B5EF4-FFF2-40B4-BE49-F238E27FC236}">
              <a16:creationId xmlns:a16="http://schemas.microsoft.com/office/drawing/2014/main" id="{D3D732F2-5DAC-4AEF-AEAF-03827AF3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58317</xdr:colOff>
      <xdr:row>6</xdr:row>
      <xdr:rowOff>184458</xdr:rowOff>
    </xdr:from>
    <xdr:to>
      <xdr:col>4</xdr:col>
      <xdr:colOff>262423</xdr:colOff>
      <xdr:row>8</xdr:row>
      <xdr:rowOff>119274</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07566887-8065-4491-BF6F-1D6F8A845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351483</xdr:colOff>
      <xdr:row>6</xdr:row>
      <xdr:rowOff>164700</xdr:rowOff>
    </xdr:from>
    <xdr:to>
      <xdr:col>6</xdr:col>
      <xdr:colOff>127937</xdr:colOff>
      <xdr:row>8</xdr:row>
      <xdr:rowOff>123816</xdr:rowOff>
    </xdr:to>
    <xdr:graphicFrame macro="">
      <xdr:nvGraphicFramePr>
        <xdr:cNvPr id="39" name="Chart 38">
          <a:hlinkClick xmlns:r="http://schemas.openxmlformats.org/officeDocument/2006/relationships" r:id="rId11"/>
          <a:extLst>
            <a:ext uri="{FF2B5EF4-FFF2-40B4-BE49-F238E27FC236}">
              <a16:creationId xmlns:a16="http://schemas.microsoft.com/office/drawing/2014/main" id="{4DE125F8-8E75-4821-AEB5-7304EB554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186359</xdr:colOff>
      <xdr:row>8</xdr:row>
      <xdr:rowOff>129416</xdr:rowOff>
    </xdr:from>
    <xdr:to>
      <xdr:col>13</xdr:col>
      <xdr:colOff>295068</xdr:colOff>
      <xdr:row>14</xdr:row>
      <xdr:rowOff>77650</xdr:rowOff>
    </xdr:to>
    <xdr:graphicFrame macro="">
      <xdr:nvGraphicFramePr>
        <xdr:cNvPr id="45" name="Chart 44">
          <a:extLst>
            <a:ext uri="{FF2B5EF4-FFF2-40B4-BE49-F238E27FC236}">
              <a16:creationId xmlns:a16="http://schemas.microsoft.com/office/drawing/2014/main" id="{FCE4E266-910F-433D-B4D7-4AA523D02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367540</xdr:colOff>
      <xdr:row>1</xdr:row>
      <xdr:rowOff>41416</xdr:rowOff>
    </xdr:from>
    <xdr:to>
      <xdr:col>8</xdr:col>
      <xdr:colOff>414131</xdr:colOff>
      <xdr:row>7</xdr:row>
      <xdr:rowOff>77650</xdr:rowOff>
    </xdr:to>
    <xdr:graphicFrame macro="">
      <xdr:nvGraphicFramePr>
        <xdr:cNvPr id="46" name="Chart 45">
          <a:extLst>
            <a:ext uri="{FF2B5EF4-FFF2-40B4-BE49-F238E27FC236}">
              <a16:creationId xmlns:a16="http://schemas.microsoft.com/office/drawing/2014/main" id="{A2BDC371-8C06-4288-8584-9AEC45D7A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357188</xdr:colOff>
      <xdr:row>8</xdr:row>
      <xdr:rowOff>93918</xdr:rowOff>
    </xdr:from>
    <xdr:to>
      <xdr:col>8</xdr:col>
      <xdr:colOff>481427</xdr:colOff>
      <xdr:row>14</xdr:row>
      <xdr:rowOff>139769</xdr:rowOff>
    </xdr:to>
    <xdr:graphicFrame macro="">
      <xdr:nvGraphicFramePr>
        <xdr:cNvPr id="47" name="Chart 46">
          <a:extLst>
            <a:ext uri="{FF2B5EF4-FFF2-40B4-BE49-F238E27FC236}">
              <a16:creationId xmlns:a16="http://schemas.microsoft.com/office/drawing/2014/main" id="{B4E2E0D5-1393-4805-99B8-FC246C4B9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310599</xdr:colOff>
      <xdr:row>0</xdr:row>
      <xdr:rowOff>176004</xdr:rowOff>
    </xdr:from>
    <xdr:to>
      <xdr:col>13</xdr:col>
      <xdr:colOff>150121</xdr:colOff>
      <xdr:row>7</xdr:row>
      <xdr:rowOff>113886</xdr:rowOff>
    </xdr:to>
    <xdr:graphicFrame macro="">
      <xdr:nvGraphicFramePr>
        <xdr:cNvPr id="48" name="Chart 47">
          <a:extLst>
            <a:ext uri="{FF2B5EF4-FFF2-40B4-BE49-F238E27FC236}">
              <a16:creationId xmlns:a16="http://schemas.microsoft.com/office/drawing/2014/main" id="{C260F2E2-A501-43C7-99E9-AA3AFADDC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310598</xdr:colOff>
          <xdr:row>9</xdr:row>
          <xdr:rowOff>186358</xdr:rowOff>
        </xdr:from>
        <xdr:to>
          <xdr:col>6</xdr:col>
          <xdr:colOff>114272</xdr:colOff>
          <xdr:row>13</xdr:row>
          <xdr:rowOff>56943</xdr:rowOff>
        </xdr:to>
        <xdr:pic>
          <xdr:nvPicPr>
            <xdr:cNvPr id="50" name="Picture 49">
              <a:extLst>
                <a:ext uri="{FF2B5EF4-FFF2-40B4-BE49-F238E27FC236}">
                  <a16:creationId xmlns:a16="http://schemas.microsoft.com/office/drawing/2014/main" id="{410FCB4F-EC56-24A6-7CA7-80D58C9765DE}"/>
                </a:ext>
              </a:extLst>
            </xdr:cNvPr>
            <xdr:cNvPicPr>
              <a:picLocks noChangeAspect="1" noChangeArrowheads="1"/>
              <a:extLst>
                <a:ext uri="{84589F7E-364E-4C9E-8A38-B11213B215E9}">
                  <a14:cameraTool cellRange="Sheet1!$G$64:$J$66" spid="_x0000_s5144"/>
                </a:ext>
              </a:extLst>
            </xdr:cNvPicPr>
          </xdr:nvPicPr>
          <xdr:blipFill>
            <a:blip xmlns:r="http://schemas.openxmlformats.org/officeDocument/2006/relationships" r:embed="rId17"/>
            <a:srcRect/>
            <a:stretch>
              <a:fillRect/>
            </a:stretch>
          </xdr:blipFill>
          <xdr:spPr bwMode="auto">
            <a:xfrm>
              <a:off x="921440" y="1910176"/>
              <a:ext cx="2857886" cy="6367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609598</xdr:colOff>
      <xdr:row>4</xdr:row>
      <xdr:rowOff>190499</xdr:rowOff>
    </xdr:from>
    <xdr:to>
      <xdr:col>18</xdr:col>
      <xdr:colOff>438149</xdr:colOff>
      <xdr:row>35</xdr:row>
      <xdr:rowOff>85725</xdr:rowOff>
    </xdr:to>
    <xdr:graphicFrame macro="">
      <xdr:nvGraphicFramePr>
        <xdr:cNvPr id="2" name="Chart 1">
          <a:extLst>
            <a:ext uri="{FF2B5EF4-FFF2-40B4-BE49-F238E27FC236}">
              <a16:creationId xmlns:a16="http://schemas.microsoft.com/office/drawing/2014/main" id="{A3B2B497-2E67-4A39-A133-95B65E664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10</xdr:row>
      <xdr:rowOff>0</xdr:rowOff>
    </xdr:from>
    <xdr:to>
      <xdr:col>21</xdr:col>
      <xdr:colOff>304800</xdr:colOff>
      <xdr:row>14</xdr:row>
      <xdr:rowOff>152400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A467C9F0-6156-5ECC-C53C-2FD0D18FAA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00" y="190500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19050</xdr:colOff>
      <xdr:row>1</xdr:row>
      <xdr:rowOff>123825</xdr:rowOff>
    </xdr:from>
    <xdr:to>
      <xdr:col>17</xdr:col>
      <xdr:colOff>190500</xdr:colOff>
      <xdr:row>28</xdr:row>
      <xdr:rowOff>123825</xdr:rowOff>
    </xdr:to>
    <xdr:graphicFrame macro="">
      <xdr:nvGraphicFramePr>
        <xdr:cNvPr id="2" name="Chart 1">
          <a:extLst>
            <a:ext uri="{FF2B5EF4-FFF2-40B4-BE49-F238E27FC236}">
              <a16:creationId xmlns:a16="http://schemas.microsoft.com/office/drawing/2014/main" id="{F6CC87D9-5614-4CE9-B31F-C258900DA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4</xdr:row>
      <xdr:rowOff>0</xdr:rowOff>
    </xdr:from>
    <xdr:to>
      <xdr:col>19</xdr:col>
      <xdr:colOff>304800</xdr:colOff>
      <xdr:row>8</xdr:row>
      <xdr:rowOff>152400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811FA3D1-E284-8AF0-0D31-B24CC35C2C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72800" y="76200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161924</xdr:colOff>
      <xdr:row>1</xdr:row>
      <xdr:rowOff>114300</xdr:rowOff>
    </xdr:from>
    <xdr:to>
      <xdr:col>11</xdr:col>
      <xdr:colOff>19050</xdr:colOff>
      <xdr:row>21</xdr:row>
      <xdr:rowOff>95250</xdr:rowOff>
    </xdr:to>
    <xdr:graphicFrame macro="">
      <xdr:nvGraphicFramePr>
        <xdr:cNvPr id="2" name="Chart 1">
          <a:extLst>
            <a:ext uri="{FF2B5EF4-FFF2-40B4-BE49-F238E27FC236}">
              <a16:creationId xmlns:a16="http://schemas.microsoft.com/office/drawing/2014/main" id="{9572088B-9002-4FF2-A0FD-0C118A5FF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xdr:row>
      <xdr:rowOff>0</xdr:rowOff>
    </xdr:from>
    <xdr:to>
      <xdr:col>12</xdr:col>
      <xdr:colOff>304800</xdr:colOff>
      <xdr:row>6</xdr:row>
      <xdr:rowOff>152400</xdr:rowOff>
    </xdr:to>
    <xdr:pic>
      <xdr:nvPicPr>
        <xdr:cNvPr id="6" name="Graphic 5" descr="House with solid fill">
          <a:hlinkClick xmlns:r="http://schemas.openxmlformats.org/officeDocument/2006/relationships" r:id="rId2"/>
          <a:extLst>
            <a:ext uri="{FF2B5EF4-FFF2-40B4-BE49-F238E27FC236}">
              <a16:creationId xmlns:a16="http://schemas.microsoft.com/office/drawing/2014/main" id="{DAFBA6D1-0244-F61F-BA64-C58281665A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15125" y="381000"/>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1759261" createdVersion="5" refreshedVersion="8" minRefreshableVersion="3" recordCount="0" supportSubquery="1" supportAdvancedDrill="1" xr:uid="{B260A8A6-9763-4AE7-A092-D8F1339FBE88}">
  <cacheSource type="external" connectionId="3"/>
  <cacheFields count="3">
    <cacheField name="[Measures].[Distinct Count of Patient Id]" caption="Distinct Count of Patient Id" numFmtId="0" hierarchy="23" level="32767"/>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2106485" createdVersion="5" refreshedVersion="8" minRefreshableVersion="3" recordCount="0" supportSubquery="1" supportAdvancedDrill="1" xr:uid="{840A427A-7965-4AF3-B84D-E527C5C4C727}">
  <cacheSource type="external" connectionId="3"/>
  <cacheFields count="2">
    <cacheField name="[Measures].[Distinct Count of Patient Id]" caption="Distinct Count of Patient Id" numFmtId="0" hierarchy="23"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2453701" createdVersion="5" refreshedVersion="8" minRefreshableVersion="3" recordCount="0" supportSubquery="1" supportAdvancedDrill="1" xr:uid="{45D20934-4B3F-4253-9519-8E9DC9796B34}">
  <cacheSource type="external" connectionId="3"/>
  <cacheFields count="2">
    <cacheField name="[Measures].[Average of Patient Waittime]" caption="Average of Patient Waittime" numFmtId="0" hierarchy="25"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291667" createdVersion="5" refreshedVersion="8" minRefreshableVersion="3" recordCount="0" supportSubquery="1" supportAdvancedDrill="1" xr:uid="{9FC71AE5-10D1-4DD9-92B8-C1250D1CE495}">
  <cacheSource type="external" connectionId="3"/>
  <cacheFields count="4">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  1].[Patient Admission Flag].[Patient Admission Flag]" caption="Patient Admission Flag" numFmtId="0" hierarchy="11"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3379632" createdVersion="5" refreshedVersion="8" minRefreshableVersion="3" recordCount="0" supportSubquery="1" supportAdvancedDrill="1" xr:uid="{DB28358D-4453-4157-B54F-2E3ED5A14935}">
  <cacheSource type="external" connectionId="3"/>
  <cacheFields count="3">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5"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3842594" createdVersion="5" refreshedVersion="8" minRefreshableVersion="3" recordCount="0" supportSubquery="1" supportAdvancedDrill="1" xr:uid="{CFA8855A-46E4-4E16-BD76-A17297C46A5C}">
  <cacheSource type="external" connectionId="3"/>
  <cacheFields count="3">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ntainsSemiMixedTypes="0" containsNonDate="0" containsString="0"/>
    </cacheField>
    <cacheField name="[Measures].[Sum of Patient Satisfaction Score]" caption="Sum of Patient Satisfaction Score" numFmtId="0" hierarchy="26"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4189817" createdVersion="5" refreshedVersion="8" minRefreshableVersion="3" recordCount="0" supportSubquery="1" supportAdvancedDrill="1" xr:uid="{D048DC2E-2159-42FE-95B7-D2EA78D8B307}">
  <cacheSource type="external" connectionId="3"/>
  <cacheFields count="2">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28"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4652779" createdVersion="5" refreshedVersion="8" minRefreshableVersion="3" recordCount="0" supportSubquery="1" supportAdvancedDrill="1" xr:uid="{9910ADEF-37D6-4677-8B01-00487A28FDA1}">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age Group].[age Group]" caption="age Group" numFmtId="0" hierarchy="15"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5231479" createdVersion="5" refreshedVersion="8" minRefreshableVersion="3" recordCount="0" supportSubquery="1" supportAdvancedDrill="1" xr:uid="{345AB13E-003D-404A-B6FF-D6EE8255E270}">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patient attend status].[patient attend status]" caption="patient attend status" numFmtId="0" hierarchy="16" level="1">
      <sharedItems count="2">
        <s v="Delay"/>
        <s v="Ontime"/>
      </sharedItems>
    </cacheField>
    <cacheField name="[Measures].[Count of patient attend status]" caption="Count of patient attend status" numFmtId="0" hierarchy="31"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5810187" createdVersion="5" refreshedVersion="8" minRefreshableVersion="3" recordCount="0" supportSubquery="1" supportAdvancedDrill="1" xr:uid="{04A6EBD0-46EC-4B50-AC84-0C9C5212F64E}">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Patient Gender].[Patient Gender]" caption="Patient Gender" numFmtId="0" hierarchy="7" level="1">
      <sharedItems count="3">
        <s v="Female"/>
        <s v="Femaleemale"/>
        <s v="Male"/>
      </sharedItems>
    </cacheField>
    <cacheField name="[Measures].[Count of Patient Gender]" caption="Count of Patient Gender" numFmtId="0" hierarchy="32"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6273149" createdVersion="5" refreshedVersion="8" minRefreshableVersion="3" recordCount="0" supportSubquery="1" supportAdvancedDrill="1" xr:uid="{D5E47870-1AC5-4CBE-8C0E-A0A4DE9708D7}">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6504626" createdVersion="5" refreshedVersion="8" minRefreshableVersion="3" recordCount="0" supportSubquery="1" supportAdvancedDrill="1" xr:uid="{CB07A939-1D3F-4A88-AEE6-95A8826CFC2A}">
  <cacheSource type="external" connectionId="3"/>
  <cacheFields count="2">
    <cacheField name="[calender_table].[Column1 (Month)].[Column1 (Month)]" caption="Column1 (Month)" numFmtId="0" hierarchy="1" level="1">
      <sharedItems containsSemiMixedTypes="0" containsNonDate="0" containsString="0"/>
    </cacheField>
    <cacheField name="[Measures].[Count of age Group]" caption="Count of age Group" numFmtId="0" hierarchy="30"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6620372" createdVersion="5" refreshedVersion="8" minRefreshableVersion="3" recordCount="0" supportSubquery="1" supportAdvancedDrill="1" xr:uid="{CD8141D8-BD23-4DE0-8DE0-2191D55F8D9E}">
  <cacheSource type="external" connectionId="3"/>
  <cacheFields count="2">
    <cacheField name="[Measures].[Average of Patient Waittime]" caption="Average of Patient Waittime" numFmtId="0" hierarchy="25"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193976736111" createdVersion="5" refreshedVersion="8" minRefreshableVersion="3" recordCount="0" supportSubquery="1" supportAdvancedDrill="1" xr:uid="{306AC7C2-8B29-4F96-8079-9C2BF2BFB814}">
  <cacheSource type="external" connectionId="3"/>
  <cacheFields count="2">
    <cacheField name="[Measures].[Average of Patient Waittime]" caption="Average of Patient Waittime" numFmtId="0" hierarchy="25"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6.665403472223" createdVersion="3" refreshedVersion="8" minRefreshableVersion="3" recordCount="0" supportSubquery="1" supportAdvancedDrill="1" xr:uid="{B742349B-FEA4-4DEC-A995-0850483EE45B}">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1]" caption="Patient Admission Date.1" attribute="1" time="1" defaultMemberUniqueName="[Hospital Emergency Room Data  1].[Patient Admission Date.1].[All]" allUniqueName="[Hospital Emergency Room Data  1].[Patient Admission Date.1].[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60594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CA780A-83D1-4612-BBEB-79097CEF0EB7}" name="PivotTable5" cacheId="71" applyNumberFormats="0" applyBorderFormats="0" applyFontFormats="0" applyPatternFormats="0" applyAlignmentFormats="0" applyWidthHeightFormats="1" dataCaption="Values" tag="19ed4492-e2b6-4f3d-8d39-18b3e1c39df1" updatedVersion="8" minRefreshableVersion="3" subtotalHiddenItems="1" itemPrintTitles="1" createdVersion="5" indent="0" outline="1" outlineData="1" multipleFieldFilters="0" chartFormat="24">
  <location ref="N6:O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0">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23832E-8351-42C4-A683-25F0646620A0}" name="PivotTable3" cacheId="68" applyNumberFormats="0" applyBorderFormats="0" applyFontFormats="0" applyPatternFormats="0" applyAlignmentFormats="0" applyWidthHeightFormats="1" dataCaption="Values" tag="c210b7db-3a8b-4d20-a464-84e65336d9c1" updatedVersion="8" minRefreshableVersion="3" subtotalHiddenItems="1" itemPrintTitles="1" createdVersion="5" indent="0" outline="1" outlineData="1" multipleFieldFilters="0" chartFormat="24">
  <location ref="G58:I61"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24">
      <pivotArea outline="0" collapsedLevelsAreSubtotals="1" fieldPosition="0"/>
    </format>
    <format dxfId="23">
      <pivotArea collapsedLevelsAreSubtotals="1" fieldPosition="0">
        <references count="2">
          <reference field="4294967294" count="1" selected="0">
            <x v="0"/>
          </reference>
          <reference field="2" count="1">
            <x v="0"/>
          </reference>
        </references>
      </pivotArea>
    </format>
    <format dxfId="22">
      <pivotArea collapsedLevelsAreSubtotals="1" fieldPosition="0">
        <references count="2">
          <reference field="4294967294" count="1" selected="0">
            <x v="0"/>
          </reference>
          <reference field="2" count="1">
            <x v="1"/>
          </reference>
        </references>
      </pivotArea>
    </format>
    <format dxfId="2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1A396-173A-4D35-B0D0-B137F14F4C13}" name="PivotTable10" cacheId="86" applyNumberFormats="0" applyBorderFormats="0" applyFontFormats="0" applyPatternFormats="0" applyAlignmentFormats="0" applyWidthHeightFormats="1" dataCaption="Values" tag="56a96077-5016-421c-9c0b-ce95798a759c" updatedVersion="8" minRefreshableVersion="3" subtotalHiddenItems="1" itemPrintTitles="1" createdVersion="5" indent="0" outline="1" outlineData="1" multipleFieldFilters="0" chartFormat="20">
  <location ref="B36:C4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Patient Gender" fld="2" subtotal="count" baseField="0" baseItem="0"/>
  </dataFields>
  <chartFormats count="4">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 count="1" selected="0">
            <x v="0"/>
          </reference>
        </references>
      </pivotArea>
    </chartFormat>
    <chartFormat chart="18" format="7">
      <pivotArea type="data" outline="0" fieldPosition="0">
        <references count="2">
          <reference field="4294967294" count="1" selected="0">
            <x v="0"/>
          </reference>
          <reference field="1" count="1" selected="0">
            <x v="1"/>
          </reference>
        </references>
      </pivotArea>
    </chartFormat>
    <chartFormat chart="18"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65FE4C-6CEA-4395-B972-C4C55CFEA845}" name="PivotTable7" cacheId="77" applyNumberFormats="0" applyBorderFormats="0" applyFontFormats="0" applyPatternFormats="0" applyAlignmentFormats="0" applyWidthHeightFormats="1" dataCaption="Values" tag="7d95b88c-2a31-4ad7-8cc5-eeb91a75b7d8" updatedVersion="8" minRefreshableVersion="3" subtotalHiddenItems="1" itemPrintTitles="1" createdVersion="5" indent="0" outline="1" outlineData="1" multipleFieldFilters="0" chartFormat="9">
  <location ref="B49:B50"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Patient Admission Flag" fld="1" subtotal="count" baseField="0" baseItem="0"/>
  </dataFields>
  <formats count="1">
    <format dxfId="2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0387F-5EA4-4C75-B66A-B66C17176FFF}" name="PivotTable1" cacheId="62" applyNumberFormats="0" applyBorderFormats="0" applyFontFormats="0" applyPatternFormats="0" applyAlignmentFormats="0" applyWidthHeightFormats="1" dataCaption="Values" tag="8cf42777-5327-4559-941c-9700600d90a0" updatedVersion="8" minRefreshableVersion="3" subtotalHiddenItems="1" itemPrintTitles="1" createdVersion="5" indent="0" outline="1" outlineData="1" multipleFieldFilters="0">
  <location ref="C18:C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D9CCA1-70ED-40CB-9E58-ABF62E5E2AE7}" name="PivotTable8" cacheId="80" applyNumberFormats="0" applyBorderFormats="0" applyFontFormats="0" applyPatternFormats="0" applyAlignmentFormats="0" applyWidthHeightFormats="1" dataCaption="Values" tag="9f0d3d63-cded-4625-b5e4-86e34b660e71" updatedVersion="8" minRefreshableVersion="3" subtotalHiddenItems="1" itemPrintTitles="1" createdVersion="5" indent="0" outline="1" outlineData="1" multipleFieldFilters="0" chartFormat="6">
  <location ref="D10:E1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96B011-EFEB-4DC1-B5AD-02A284B5F16A}" name="PivotTable4" cacheId="59" applyNumberFormats="0" applyBorderFormats="0" applyFontFormats="0" applyPatternFormats="0" applyAlignmentFormats="0" applyWidthHeightFormats="1" dataCaption="Values" tag="e0cb466f-5c73-4b47-9504-68e3f6839449" updatedVersion="8" minRefreshableVersion="3" subtotalHiddenItems="1" itemPrintTitles="1" createdVersion="5" indent="0" outline="1" outlineData="1" multipleFieldFilters="0" chartFormat="15">
  <location ref="H6:I38"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F53083-96C6-425D-9410-DF1CAB0A819C}" name="PivotTable6" cacheId="74" applyNumberFormats="0" applyBorderFormats="0" applyFontFormats="0" applyPatternFormats="0" applyAlignmentFormats="0" applyWidthHeightFormats="1" dataCaption="Values" tag="11eb9fb1-37ee-4cea-b1ac-c751d8052ca5" updatedVersion="8" minRefreshableVersion="3" subtotalHiddenItems="1" itemPrintTitles="1" createdVersion="5" indent="0" outline="1" outlineData="1" multipleFieldFilters="0" chartFormat="32">
  <location ref="S6:T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1">
    <format dxfId="26">
      <pivotArea collapsedLevelsAreSubtotals="1" fieldPosition="0">
        <references count="1">
          <reference field="0" count="0"/>
        </references>
      </pivotArea>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2F01A3-8EE0-4F32-B61A-0C5B9BE5B33F}" name="PivotTable12" cacheId="92" applyNumberFormats="0" applyBorderFormats="0" applyFontFormats="0" applyPatternFormats="0" applyAlignmentFormats="0" applyWidthHeightFormats="1" dataCaption="Values" tag="fdbc06dc-807e-425e-978d-589cf9c694c1" updatedVersion="8" minRefreshableVersion="3" subtotalHiddenItems="1" itemPrintTitles="1" createdVersion="5" indent="0" outline="1" outlineData="1" multipleFieldFilters="0" chartFormat="6">
  <location ref="F28:F2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age Group"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1549C3-AEE9-41D3-A2D8-902B97E4B60D}" name="PivotTable9" cacheId="83" applyNumberFormats="0" applyBorderFormats="0" applyFontFormats="0" applyPatternFormats="0" applyAlignmentFormats="0" applyWidthHeightFormats="1" dataCaption="Values" tag="bb6b59db-8ef8-43dd-a267-f7488e57f942" updatedVersion="8" minRefreshableVersion="3" subtotalHiddenItems="1" itemPrintTitles="1" createdVersion="5" indent="0" outline="1" outlineData="1" multipleFieldFilters="0" chartFormat="12">
  <location ref="C29:D3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1AD434-DDCF-4D5F-A14E-6C8956357657}" name="PivotTable2" cacheId="65" applyNumberFormats="0" applyBorderFormats="0" applyFontFormats="0" applyPatternFormats="0" applyAlignmentFormats="0" applyWidthHeightFormats="1" dataCaption="Values" tag="3fd9dedd-2b95-4f14-9029-ce0d50cced57" updatedVersion="8" minRefreshableVersion="3"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7">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358403-98A3-4D20-8819-A2D2CA51EA94}" name="PivotTable14" cacheId="98" applyNumberFormats="0" applyBorderFormats="0" applyFontFormats="0" applyPatternFormats="0" applyAlignmentFormats="0" applyWidthHeightFormats="1" dataCaption="Values" tag="8be8794a-3ac4-4132-acfb-1e946189e44a" updatedVersion="8" minRefreshableVersion="3" subtotalHiddenItems="1" itemPrintTitles="1" createdVersion="5" indent="0" outline="1" outlineData="1" multipleFieldFilters="0">
  <location ref="G55:G5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773ED1-3EAE-4587-BD93-D58C5820607C}" name="PivotTable11" cacheId="89" applyNumberFormats="0" applyBorderFormats="0" applyFontFormats="0" applyPatternFormats="0" applyAlignmentFormats="0" applyWidthHeightFormats="1" dataCaption="Values" tag="54ca68a0-7a0b-444a-bd15-b9c4a613b37b" updatedVersion="8" minRefreshableVersion="3" subtotalHiddenItems="1" itemPrintTitles="1" createdVersion="5" indent="0" outline="1" outlineData="1" multipleFieldFilters="0" chartFormat="27">
  <location ref="E38:F4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635406-1AC4-4D3D-8D9D-26AF8709705C}" name="PivotTable13" cacheId="95" applyNumberFormats="0" applyBorderFormats="0" applyFontFormats="0" applyPatternFormats="0" applyAlignmentFormats="0" applyWidthHeightFormats="1" dataCaption="Values" tag="9947e6c8-8d66-4295-9432-37824b3aac7a" updatedVersion="8" minRefreshableVersion="3" subtotalHiddenItems="1" itemPrintTitles="1" createdVersion="5" indent="0" outline="1" outlineData="1" multipleFieldFilters="0">
  <location ref="R52:R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9">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C3D86BF1-B7F4-41DC-A945-83052858C43A}" sourceName="[calender_table].[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1460594085">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1" xr10:uid="{E04C6E8F-4B12-4A48-A863-E0FF81164B49}" cache="Slicer_Column1__Month" caption="Column1 (Month)" showCaption="0" level="1" style="my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50F1-A311-4743-A23D-66274FE6A75B}">
  <dimension ref="A5:T67"/>
  <sheetViews>
    <sheetView topLeftCell="D30" workbookViewId="0">
      <selection activeCell="G64" sqref="G64:J66"/>
    </sheetView>
  </sheetViews>
  <sheetFormatPr defaultRowHeight="15" x14ac:dyDescent="0.25"/>
  <cols>
    <col min="1" max="1" width="28.5703125" customWidth="1"/>
    <col min="2" max="2" width="17.42578125" customWidth="1"/>
    <col min="3" max="3" width="24.42578125" customWidth="1"/>
    <col min="4" max="4" width="26.28515625" customWidth="1"/>
    <col min="5" max="5" width="17.5703125" customWidth="1"/>
    <col min="7" max="7" width="26.140625" customWidth="1"/>
    <col min="8" max="8" width="26.85546875" customWidth="1"/>
    <col min="10" max="10" width="22" customWidth="1"/>
    <col min="14" max="14" width="18" customWidth="1"/>
    <col min="15" max="15" width="25.28515625" customWidth="1"/>
    <col min="18" max="18" width="23.5703125" customWidth="1"/>
    <col min="19" max="19" width="16.140625" customWidth="1"/>
    <col min="20" max="20" width="25" customWidth="1"/>
  </cols>
  <sheetData>
    <row r="5" spans="1:20" x14ac:dyDescent="0.25">
      <c r="A5" t="s">
        <v>1</v>
      </c>
      <c r="H5" t="s">
        <v>21</v>
      </c>
      <c r="N5" t="s">
        <v>20</v>
      </c>
    </row>
    <row r="6" spans="1:20" x14ac:dyDescent="0.25">
      <c r="H6" s="2" t="s">
        <v>18</v>
      </c>
      <c r="I6" t="s">
        <v>0</v>
      </c>
      <c r="N6" s="2" t="s">
        <v>18</v>
      </c>
      <c r="O6" t="s">
        <v>16</v>
      </c>
      <c r="S6" s="2" t="s">
        <v>18</v>
      </c>
      <c r="T6" t="s">
        <v>17</v>
      </c>
    </row>
    <row r="7" spans="1:20" x14ac:dyDescent="0.25">
      <c r="H7" s="4" t="s">
        <v>41</v>
      </c>
      <c r="I7" s="18">
        <v>19</v>
      </c>
      <c r="N7" s="4" t="s">
        <v>41</v>
      </c>
      <c r="O7" s="3">
        <v>37.789473684210527</v>
      </c>
      <c r="S7" s="4" t="s">
        <v>41</v>
      </c>
      <c r="T7" s="3">
        <v>40</v>
      </c>
    </row>
    <row r="8" spans="1:20" x14ac:dyDescent="0.25">
      <c r="H8" s="4" t="s">
        <v>42</v>
      </c>
      <c r="I8" s="18">
        <v>14</v>
      </c>
      <c r="N8" s="4" t="s">
        <v>42</v>
      </c>
      <c r="O8" s="3">
        <v>38.214285714285715</v>
      </c>
      <c r="S8" s="4" t="s">
        <v>42</v>
      </c>
      <c r="T8" s="3">
        <v>21</v>
      </c>
    </row>
    <row r="9" spans="1:20" x14ac:dyDescent="0.25">
      <c r="H9" s="4" t="s">
        <v>43</v>
      </c>
      <c r="I9" s="18">
        <v>13</v>
      </c>
      <c r="N9" s="4" t="s">
        <v>43</v>
      </c>
      <c r="O9" s="3">
        <v>40.92307692307692</v>
      </c>
      <c r="S9" s="4" t="s">
        <v>43</v>
      </c>
      <c r="T9" s="3">
        <v>9</v>
      </c>
    </row>
    <row r="10" spans="1:20" x14ac:dyDescent="0.25">
      <c r="D10" s="2" t="s">
        <v>18</v>
      </c>
      <c r="E10" t="s">
        <v>35</v>
      </c>
      <c r="H10" s="4" t="s">
        <v>44</v>
      </c>
      <c r="I10" s="18">
        <v>22</v>
      </c>
      <c r="N10" s="4" t="s">
        <v>44</v>
      </c>
      <c r="O10" s="3">
        <v>34.5</v>
      </c>
      <c r="S10" s="4" t="s">
        <v>44</v>
      </c>
      <c r="T10" s="3">
        <v>24</v>
      </c>
    </row>
    <row r="11" spans="1:20" x14ac:dyDescent="0.25">
      <c r="A11" t="s">
        <v>16</v>
      </c>
      <c r="D11" s="4" t="s">
        <v>13</v>
      </c>
      <c r="E11" s="18">
        <v>76</v>
      </c>
      <c r="H11" s="4" t="s">
        <v>45</v>
      </c>
      <c r="I11" s="18">
        <v>19</v>
      </c>
      <c r="N11" s="4" t="s">
        <v>45</v>
      </c>
      <c r="O11" s="3">
        <v>30.684210526315791</v>
      </c>
      <c r="S11" s="4" t="s">
        <v>45</v>
      </c>
      <c r="T11" s="3">
        <v>31</v>
      </c>
    </row>
    <row r="12" spans="1:20" x14ac:dyDescent="0.25">
      <c r="A12" s="3">
        <v>36.323586744639378</v>
      </c>
      <c r="D12" s="4" t="s">
        <v>8</v>
      </c>
      <c r="E12" s="18">
        <v>69</v>
      </c>
      <c r="H12" s="4" t="s">
        <v>46</v>
      </c>
      <c r="I12" s="18">
        <v>15</v>
      </c>
      <c r="N12" s="4" t="s">
        <v>46</v>
      </c>
      <c r="O12" s="3">
        <v>37.666666666666664</v>
      </c>
      <c r="S12" s="4" t="s">
        <v>46</v>
      </c>
      <c r="T12" s="3">
        <v>31</v>
      </c>
    </row>
    <row r="13" spans="1:20" x14ac:dyDescent="0.25">
      <c r="D13" s="4" t="s">
        <v>12</v>
      </c>
      <c r="E13" s="18">
        <v>64</v>
      </c>
      <c r="H13" s="4" t="s">
        <v>47</v>
      </c>
      <c r="I13" s="18">
        <v>12</v>
      </c>
      <c r="N13" s="4" t="s">
        <v>47</v>
      </c>
      <c r="O13" s="3">
        <v>36.083333333333336</v>
      </c>
      <c r="S13" s="4" t="s">
        <v>47</v>
      </c>
      <c r="T13" s="3">
        <v>15</v>
      </c>
    </row>
    <row r="14" spans="1:20" x14ac:dyDescent="0.25">
      <c r="D14" s="4" t="s">
        <v>14</v>
      </c>
      <c r="E14" s="18">
        <v>59</v>
      </c>
      <c r="H14" s="4" t="s">
        <v>48</v>
      </c>
      <c r="I14" s="18">
        <v>21</v>
      </c>
      <c r="N14" s="4" t="s">
        <v>48</v>
      </c>
      <c r="O14" s="3">
        <v>43.523809523809526</v>
      </c>
      <c r="S14" s="4" t="s">
        <v>48</v>
      </c>
      <c r="T14" s="3">
        <v>39</v>
      </c>
    </row>
    <row r="15" spans="1:20" x14ac:dyDescent="0.25">
      <c r="D15" s="4" t="s">
        <v>10</v>
      </c>
      <c r="E15" s="18">
        <v>58</v>
      </c>
      <c r="H15" s="4" t="s">
        <v>49</v>
      </c>
      <c r="I15" s="18">
        <v>12</v>
      </c>
      <c r="N15" s="4" t="s">
        <v>49</v>
      </c>
      <c r="O15" s="3">
        <v>29.5</v>
      </c>
      <c r="S15" s="4" t="s">
        <v>49</v>
      </c>
      <c r="T15" s="3">
        <v>6</v>
      </c>
    </row>
    <row r="16" spans="1:20" x14ac:dyDescent="0.25">
      <c r="D16" s="4" t="s">
        <v>11</v>
      </c>
      <c r="E16" s="18">
        <v>66</v>
      </c>
      <c r="H16" s="4" t="s">
        <v>50</v>
      </c>
      <c r="I16" s="18">
        <v>13</v>
      </c>
      <c r="N16" s="4" t="s">
        <v>50</v>
      </c>
      <c r="O16" s="3">
        <v>38.07692307692308</v>
      </c>
      <c r="S16" s="4" t="s">
        <v>50</v>
      </c>
      <c r="T16" s="3">
        <v>9</v>
      </c>
    </row>
    <row r="17" spans="2:20" x14ac:dyDescent="0.25">
      <c r="D17" s="4" t="s">
        <v>5</v>
      </c>
      <c r="E17" s="18">
        <v>67</v>
      </c>
      <c r="H17" s="4" t="s">
        <v>51</v>
      </c>
      <c r="I17" s="18">
        <v>13</v>
      </c>
      <c r="N17" s="4" t="s">
        <v>51</v>
      </c>
      <c r="O17" s="3">
        <v>35.846153846153847</v>
      </c>
      <c r="S17" s="4" t="s">
        <v>51</v>
      </c>
      <c r="T17" s="3">
        <v>18</v>
      </c>
    </row>
    <row r="18" spans="2:20" x14ac:dyDescent="0.25">
      <c r="C18" t="s">
        <v>0</v>
      </c>
      <c r="D18" s="4" t="s">
        <v>7</v>
      </c>
      <c r="E18" s="18">
        <v>54</v>
      </c>
      <c r="H18" s="4" t="s">
        <v>52</v>
      </c>
      <c r="I18" s="18">
        <v>16</v>
      </c>
      <c r="N18" s="4" t="s">
        <v>52</v>
      </c>
      <c r="O18" s="3">
        <v>32.625</v>
      </c>
      <c r="S18" s="4" t="s">
        <v>52</v>
      </c>
      <c r="T18" s="3">
        <v>26</v>
      </c>
    </row>
    <row r="19" spans="2:20" x14ac:dyDescent="0.25">
      <c r="C19" s="18">
        <v>513</v>
      </c>
      <c r="D19" s="4" t="s">
        <v>19</v>
      </c>
      <c r="E19" s="18">
        <v>513</v>
      </c>
      <c r="H19" s="4" t="s">
        <v>53</v>
      </c>
      <c r="I19" s="18">
        <v>20</v>
      </c>
      <c r="N19" s="4" t="s">
        <v>53</v>
      </c>
      <c r="O19" s="3">
        <v>39.200000000000003</v>
      </c>
      <c r="S19" s="4" t="s">
        <v>53</v>
      </c>
      <c r="T19" s="3">
        <v>22</v>
      </c>
    </row>
    <row r="20" spans="2:20" x14ac:dyDescent="0.25">
      <c r="H20" s="4" t="s">
        <v>54</v>
      </c>
      <c r="I20" s="18">
        <v>25</v>
      </c>
      <c r="N20" s="4" t="s">
        <v>54</v>
      </c>
      <c r="O20" s="3">
        <v>35.28</v>
      </c>
      <c r="S20" s="4" t="s">
        <v>54</v>
      </c>
      <c r="T20" s="3">
        <v>38</v>
      </c>
    </row>
    <row r="21" spans="2:20" x14ac:dyDescent="0.25">
      <c r="H21" s="4" t="s">
        <v>55</v>
      </c>
      <c r="I21" s="18">
        <v>20</v>
      </c>
      <c r="N21" s="4" t="s">
        <v>55</v>
      </c>
      <c r="O21" s="3">
        <v>32.549999999999997</v>
      </c>
      <c r="S21" s="4" t="s">
        <v>55</v>
      </c>
      <c r="T21" s="3">
        <v>44</v>
      </c>
    </row>
    <row r="22" spans="2:20" x14ac:dyDescent="0.25">
      <c r="H22" s="4" t="s">
        <v>56</v>
      </c>
      <c r="I22" s="18">
        <v>14</v>
      </c>
      <c r="N22" s="4" t="s">
        <v>56</v>
      </c>
      <c r="O22" s="3">
        <v>35.642857142857146</v>
      </c>
      <c r="S22" s="4" t="s">
        <v>56</v>
      </c>
      <c r="T22" s="3">
        <v>35</v>
      </c>
    </row>
    <row r="23" spans="2:20" x14ac:dyDescent="0.25">
      <c r="H23" s="4" t="s">
        <v>57</v>
      </c>
      <c r="I23" s="18">
        <v>17</v>
      </c>
      <c r="N23" s="4" t="s">
        <v>57</v>
      </c>
      <c r="O23" s="3">
        <v>38.764705882352942</v>
      </c>
      <c r="S23" s="4" t="s">
        <v>57</v>
      </c>
      <c r="T23" s="3">
        <v>40</v>
      </c>
    </row>
    <row r="24" spans="2:20" x14ac:dyDescent="0.25">
      <c r="B24" s="1"/>
      <c r="C24" s="1"/>
      <c r="H24" s="4" t="s">
        <v>58</v>
      </c>
      <c r="I24" s="18">
        <v>20</v>
      </c>
      <c r="N24" s="4" t="s">
        <v>58</v>
      </c>
      <c r="O24" s="3">
        <v>39.9</v>
      </c>
      <c r="S24" s="4" t="s">
        <v>58</v>
      </c>
      <c r="T24" s="3">
        <v>16</v>
      </c>
    </row>
    <row r="25" spans="2:20" x14ac:dyDescent="0.25">
      <c r="B25" s="4"/>
      <c r="H25" s="4" t="s">
        <v>59</v>
      </c>
      <c r="I25" s="18">
        <v>10</v>
      </c>
      <c r="N25" s="4" t="s">
        <v>59</v>
      </c>
      <c r="O25" s="3">
        <v>41.6</v>
      </c>
      <c r="S25" s="4" t="s">
        <v>59</v>
      </c>
      <c r="T25" s="3">
        <v>16</v>
      </c>
    </row>
    <row r="26" spans="2:20" x14ac:dyDescent="0.25">
      <c r="B26" s="4"/>
      <c r="H26" s="4" t="s">
        <v>60</v>
      </c>
      <c r="I26" s="18">
        <v>17</v>
      </c>
      <c r="N26" s="4" t="s">
        <v>60</v>
      </c>
      <c r="O26" s="3">
        <v>39.470588235294116</v>
      </c>
      <c r="S26" s="4" t="s">
        <v>60</v>
      </c>
      <c r="T26" s="3">
        <v>39</v>
      </c>
    </row>
    <row r="27" spans="2:20" x14ac:dyDescent="0.25">
      <c r="B27" s="4"/>
      <c r="H27" s="4" t="s">
        <v>61</v>
      </c>
      <c r="I27" s="18">
        <v>15</v>
      </c>
      <c r="N27" s="4" t="s">
        <v>61</v>
      </c>
      <c r="O27" s="3">
        <v>27.733333333333334</v>
      </c>
      <c r="S27" s="4" t="s">
        <v>61</v>
      </c>
      <c r="T27" s="3">
        <v>5</v>
      </c>
    </row>
    <row r="28" spans="2:20" x14ac:dyDescent="0.25">
      <c r="B28" s="4"/>
      <c r="F28" t="s">
        <v>35</v>
      </c>
      <c r="H28" s="4" t="s">
        <v>62</v>
      </c>
      <c r="I28" s="18">
        <v>16</v>
      </c>
      <c r="N28" s="4" t="s">
        <v>62</v>
      </c>
      <c r="O28" s="3">
        <v>36.875</v>
      </c>
      <c r="S28" s="4" t="s">
        <v>62</v>
      </c>
      <c r="T28" s="3">
        <v>32</v>
      </c>
    </row>
    <row r="29" spans="2:20" x14ac:dyDescent="0.25">
      <c r="B29" s="4"/>
      <c r="C29" s="2" t="s">
        <v>18</v>
      </c>
      <c r="D29" t="s">
        <v>36</v>
      </c>
      <c r="F29" s="18">
        <v>513</v>
      </c>
      <c r="H29" s="4" t="s">
        <v>63</v>
      </c>
      <c r="I29" s="18">
        <v>18</v>
      </c>
      <c r="N29" s="4" t="s">
        <v>63</v>
      </c>
      <c r="O29" s="3">
        <v>40.333333333333336</v>
      </c>
      <c r="S29" s="4" t="s">
        <v>63</v>
      </c>
      <c r="T29" s="3">
        <v>16</v>
      </c>
    </row>
    <row r="30" spans="2:20" x14ac:dyDescent="0.25">
      <c r="B30" s="4"/>
      <c r="C30" s="4" t="s">
        <v>6</v>
      </c>
      <c r="D30" s="18">
        <v>316</v>
      </c>
      <c r="H30" s="4" t="s">
        <v>64</v>
      </c>
      <c r="I30" s="18">
        <v>16</v>
      </c>
      <c r="N30" s="4" t="s">
        <v>64</v>
      </c>
      <c r="O30" s="3">
        <v>36.5</v>
      </c>
      <c r="S30" s="4" t="s">
        <v>64</v>
      </c>
      <c r="T30" s="3">
        <v>15</v>
      </c>
    </row>
    <row r="31" spans="2:20" x14ac:dyDescent="0.25">
      <c r="B31" s="4"/>
      <c r="C31" s="4" t="s">
        <v>9</v>
      </c>
      <c r="D31" s="18">
        <v>197</v>
      </c>
      <c r="H31" s="4" t="s">
        <v>65</v>
      </c>
      <c r="I31" s="18">
        <v>15</v>
      </c>
      <c r="N31" s="4" t="s">
        <v>65</v>
      </c>
      <c r="O31" s="3">
        <v>32.866666666666667</v>
      </c>
      <c r="S31" s="4" t="s">
        <v>65</v>
      </c>
      <c r="T31" s="3">
        <v>19</v>
      </c>
    </row>
    <row r="32" spans="2:20" x14ac:dyDescent="0.25">
      <c r="B32" s="4"/>
      <c r="C32" s="4" t="s">
        <v>19</v>
      </c>
      <c r="D32" s="18">
        <v>513</v>
      </c>
      <c r="H32" s="4" t="s">
        <v>66</v>
      </c>
      <c r="I32" s="18">
        <v>14</v>
      </c>
      <c r="N32" s="4" t="s">
        <v>66</v>
      </c>
      <c r="O32" s="3">
        <v>36.642857142857146</v>
      </c>
      <c r="S32" s="4" t="s">
        <v>66</v>
      </c>
      <c r="T32" s="3">
        <v>10</v>
      </c>
    </row>
    <row r="33" spans="2:20" x14ac:dyDescent="0.25">
      <c r="H33" s="4" t="s">
        <v>67</v>
      </c>
      <c r="I33" s="18">
        <v>16</v>
      </c>
      <c r="N33" s="4" t="s">
        <v>67</v>
      </c>
      <c r="O33" s="3">
        <v>36.5625</v>
      </c>
      <c r="S33" s="4" t="s">
        <v>67</v>
      </c>
      <c r="T33" s="3">
        <v>35</v>
      </c>
    </row>
    <row r="34" spans="2:20" x14ac:dyDescent="0.25">
      <c r="H34" s="4" t="s">
        <v>68</v>
      </c>
      <c r="I34" s="18">
        <v>20</v>
      </c>
      <c r="N34" s="4" t="s">
        <v>68</v>
      </c>
      <c r="O34" s="3">
        <v>32.15</v>
      </c>
      <c r="S34" s="4" t="s">
        <v>68</v>
      </c>
      <c r="T34" s="3">
        <v>32</v>
      </c>
    </row>
    <row r="35" spans="2:20" x14ac:dyDescent="0.25">
      <c r="H35" s="4" t="s">
        <v>69</v>
      </c>
      <c r="I35" s="18">
        <v>19</v>
      </c>
      <c r="N35" s="4" t="s">
        <v>69</v>
      </c>
      <c r="O35" s="3">
        <v>38.368421052631582</v>
      </c>
      <c r="S35" s="4" t="s">
        <v>69</v>
      </c>
      <c r="T35" s="3">
        <v>24</v>
      </c>
    </row>
    <row r="36" spans="2:20" x14ac:dyDescent="0.25">
      <c r="B36" s="2" t="s">
        <v>18</v>
      </c>
      <c r="C36" t="s">
        <v>37</v>
      </c>
      <c r="H36" s="4" t="s">
        <v>70</v>
      </c>
      <c r="I36" s="18">
        <v>14</v>
      </c>
      <c r="N36" s="4" t="s">
        <v>70</v>
      </c>
      <c r="O36" s="3">
        <v>33.071428571428569</v>
      </c>
      <c r="S36" s="4" t="s">
        <v>70</v>
      </c>
      <c r="T36" s="3">
        <v>15</v>
      </c>
    </row>
    <row r="37" spans="2:20" x14ac:dyDescent="0.25">
      <c r="B37" s="4" t="s">
        <v>22</v>
      </c>
      <c r="C37" s="18">
        <v>239</v>
      </c>
      <c r="H37" s="4" t="s">
        <v>71</v>
      </c>
      <c r="I37" s="18">
        <v>18</v>
      </c>
      <c r="N37" s="4" t="s">
        <v>71</v>
      </c>
      <c r="O37" s="3">
        <v>36.444444444444443</v>
      </c>
      <c r="S37" s="4" t="s">
        <v>71</v>
      </c>
      <c r="T37" s="3">
        <v>7</v>
      </c>
    </row>
    <row r="38" spans="2:20" x14ac:dyDescent="0.25">
      <c r="B38" s="4" t="s">
        <v>30</v>
      </c>
      <c r="C38" s="18">
        <v>2</v>
      </c>
      <c r="E38" s="2" t="s">
        <v>18</v>
      </c>
      <c r="F38" t="s">
        <v>38</v>
      </c>
      <c r="H38" s="4" t="s">
        <v>19</v>
      </c>
      <c r="I38" s="18">
        <v>513</v>
      </c>
      <c r="N38" s="4" t="s">
        <v>19</v>
      </c>
      <c r="O38" s="18">
        <v>36.323586744639378</v>
      </c>
      <c r="S38" s="4" t="s">
        <v>19</v>
      </c>
      <c r="T38" s="18">
        <v>729</v>
      </c>
    </row>
    <row r="39" spans="2:20" x14ac:dyDescent="0.25">
      <c r="B39" s="4" t="s">
        <v>2</v>
      </c>
      <c r="C39" s="18">
        <v>272</v>
      </c>
      <c r="E39" s="4" t="s">
        <v>32</v>
      </c>
      <c r="F39" s="18">
        <v>4</v>
      </c>
    </row>
    <row r="40" spans="2:20" x14ac:dyDescent="0.25">
      <c r="B40" s="4" t="s">
        <v>19</v>
      </c>
      <c r="C40" s="18">
        <v>513</v>
      </c>
      <c r="E40" s="4" t="s">
        <v>31</v>
      </c>
      <c r="F40" s="18">
        <v>5</v>
      </c>
    </row>
    <row r="41" spans="2:20" x14ac:dyDescent="0.25">
      <c r="E41" s="4" t="s">
        <v>25</v>
      </c>
      <c r="F41" s="18">
        <v>9</v>
      </c>
    </row>
    <row r="42" spans="2:20" x14ac:dyDescent="0.25">
      <c r="E42" s="4" t="s">
        <v>26</v>
      </c>
      <c r="F42" s="18">
        <v>14</v>
      </c>
    </row>
    <row r="43" spans="2:20" x14ac:dyDescent="0.25">
      <c r="E43" s="4" t="s">
        <v>27</v>
      </c>
      <c r="F43" s="18">
        <v>14</v>
      </c>
    </row>
    <row r="44" spans="2:20" x14ac:dyDescent="0.25">
      <c r="E44" s="4" t="s">
        <v>24</v>
      </c>
      <c r="F44" s="18">
        <v>65</v>
      </c>
    </row>
    <row r="45" spans="2:20" x14ac:dyDescent="0.25">
      <c r="E45" s="4" t="s">
        <v>23</v>
      </c>
      <c r="F45" s="18">
        <v>103</v>
      </c>
    </row>
    <row r="46" spans="2:20" x14ac:dyDescent="0.25">
      <c r="E46" s="4" t="s">
        <v>3</v>
      </c>
      <c r="F46" s="18">
        <v>299</v>
      </c>
    </row>
    <row r="47" spans="2:20" x14ac:dyDescent="0.25">
      <c r="E47" s="4" t="s">
        <v>19</v>
      </c>
      <c r="F47" s="18">
        <v>513</v>
      </c>
    </row>
    <row r="49" spans="1:18" x14ac:dyDescent="0.25">
      <c r="B49" t="s">
        <v>28</v>
      </c>
      <c r="G49" s="1" t="s">
        <v>18</v>
      </c>
      <c r="H49" s="1" t="s">
        <v>28</v>
      </c>
      <c r="I49" s="1" t="s">
        <v>29</v>
      </c>
    </row>
    <row r="50" spans="1:18" x14ac:dyDescent="0.25">
      <c r="B50" s="3">
        <v>513</v>
      </c>
      <c r="G50" s="4" t="s">
        <v>4</v>
      </c>
      <c r="H50" s="5">
        <v>487</v>
      </c>
      <c r="I50" s="6">
        <v>0.49142280524722504</v>
      </c>
    </row>
    <row r="51" spans="1:18" x14ac:dyDescent="0.25">
      <c r="G51" s="4" t="s">
        <v>15</v>
      </c>
      <c r="H51" s="5">
        <v>504</v>
      </c>
      <c r="I51" s="6">
        <v>0.50857719475277496</v>
      </c>
    </row>
    <row r="52" spans="1:18" x14ac:dyDescent="0.25">
      <c r="R52" t="s">
        <v>16</v>
      </c>
    </row>
    <row r="53" spans="1:18" x14ac:dyDescent="0.25">
      <c r="R53" s="3">
        <v>36.323586744639378</v>
      </c>
    </row>
    <row r="55" spans="1:18" x14ac:dyDescent="0.25">
      <c r="G55" t="s">
        <v>16</v>
      </c>
    </row>
    <row r="56" spans="1:18" x14ac:dyDescent="0.25">
      <c r="G56" s="3">
        <v>36.323586744639378</v>
      </c>
    </row>
    <row r="57" spans="1:18" ht="18.75" x14ac:dyDescent="0.3">
      <c r="A57" s="7" t="s">
        <v>33</v>
      </c>
      <c r="B57" s="7" t="s">
        <v>34</v>
      </c>
    </row>
    <row r="58" spans="1:18" ht="18.75" x14ac:dyDescent="0.3">
      <c r="A58" s="8" t="str">
        <f>G59</f>
        <v>admitted</v>
      </c>
      <c r="B58" s="9">
        <f>H59</f>
        <v>269</v>
      </c>
      <c r="G58" s="2" t="s">
        <v>18</v>
      </c>
      <c r="H58" t="s">
        <v>28</v>
      </c>
      <c r="I58" t="s">
        <v>29</v>
      </c>
    </row>
    <row r="59" spans="1:18" ht="18.75" x14ac:dyDescent="0.3">
      <c r="A59" s="8" t="str">
        <f>G60</f>
        <v>not admitted</v>
      </c>
      <c r="B59" s="10">
        <f>H60</f>
        <v>244</v>
      </c>
      <c r="G59" s="4" t="s">
        <v>4</v>
      </c>
      <c r="H59" s="5">
        <v>269</v>
      </c>
      <c r="I59" s="6">
        <v>0.52436647173489281</v>
      </c>
    </row>
    <row r="60" spans="1:18" x14ac:dyDescent="0.25">
      <c r="G60" s="4" t="s">
        <v>15</v>
      </c>
      <c r="H60" s="5">
        <v>244</v>
      </c>
      <c r="I60" s="6">
        <v>0.47563352826510719</v>
      </c>
    </row>
    <row r="61" spans="1:18" x14ac:dyDescent="0.25">
      <c r="G61" s="4" t="s">
        <v>19</v>
      </c>
      <c r="H61" s="3">
        <v>513</v>
      </c>
      <c r="I61" s="6">
        <v>1</v>
      </c>
    </row>
    <row r="64" spans="1:18" ht="18.75" x14ac:dyDescent="0.3">
      <c r="G64" s="11" t="s">
        <v>39</v>
      </c>
      <c r="H64" s="7" t="s">
        <v>34</v>
      </c>
      <c r="I64" s="7" t="s">
        <v>40</v>
      </c>
    </row>
    <row r="65" spans="1:9" x14ac:dyDescent="0.25">
      <c r="A65" s="1" t="s">
        <v>18</v>
      </c>
      <c r="B65" s="1" t="s">
        <v>28</v>
      </c>
      <c r="G65" s="12" t="str">
        <f>G59</f>
        <v>admitted</v>
      </c>
      <c r="H65" s="13">
        <f t="shared" ref="H65:I66" si="0">H59</f>
        <v>269</v>
      </c>
      <c r="I65" s="14">
        <f t="shared" si="0"/>
        <v>0.52436647173489281</v>
      </c>
    </row>
    <row r="66" spans="1:9" x14ac:dyDescent="0.25">
      <c r="A66" s="4" t="s">
        <v>4</v>
      </c>
      <c r="B66" s="5">
        <v>487</v>
      </c>
      <c r="G66" s="12" t="str">
        <f>G60</f>
        <v>not admitted</v>
      </c>
      <c r="H66" s="13">
        <f t="shared" si="0"/>
        <v>244</v>
      </c>
      <c r="I66" s="14">
        <f t="shared" si="0"/>
        <v>0.47563352826510719</v>
      </c>
    </row>
    <row r="67" spans="1:9" x14ac:dyDescent="0.25">
      <c r="A67" s="4" t="s">
        <v>15</v>
      </c>
      <c r="B67" s="5">
        <v>504</v>
      </c>
    </row>
  </sheetData>
  <pageMargins left="0.7" right="0.7" top="0.75" bottom="0.75" header="0.3" footer="0.3"/>
  <pageSetup orientation="portrait" r:id="rId15"/>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5B94-2FFA-4A0C-BB26-CBDABBB6E087}">
  <dimension ref="A1:S24"/>
  <sheetViews>
    <sheetView tabSelected="1" zoomScale="184" zoomScaleNormal="184" workbookViewId="0">
      <selection activeCell="H20" sqref="H20"/>
    </sheetView>
  </sheetViews>
  <sheetFormatPr defaultRowHeight="15" x14ac:dyDescent="0.25"/>
  <cols>
    <col min="4" max="5" width="9.140625" customWidth="1"/>
  </cols>
  <sheetData>
    <row r="1" spans="1:17" x14ac:dyDescent="0.25">
      <c r="A1" s="15"/>
      <c r="B1" s="15"/>
      <c r="C1" s="15"/>
      <c r="D1" s="15"/>
      <c r="E1" s="15"/>
      <c r="F1" s="15"/>
      <c r="G1" s="15"/>
      <c r="H1" s="15"/>
      <c r="I1" s="15"/>
      <c r="J1" s="15"/>
      <c r="K1" s="15"/>
      <c r="L1" s="15"/>
      <c r="M1" s="15"/>
      <c r="N1" s="15"/>
      <c r="O1" s="15"/>
      <c r="P1" s="15"/>
      <c r="Q1" s="17"/>
    </row>
    <row r="2" spans="1:17" x14ac:dyDescent="0.25">
      <c r="A2" s="15"/>
      <c r="B2" s="15"/>
      <c r="C2" s="15"/>
      <c r="D2" s="15"/>
      <c r="E2" s="15"/>
      <c r="F2" s="15"/>
      <c r="G2" s="15"/>
      <c r="H2" s="15"/>
      <c r="I2" s="15"/>
      <c r="J2" s="15"/>
      <c r="K2" s="15"/>
      <c r="L2" s="15"/>
      <c r="M2" s="15"/>
      <c r="N2" s="15"/>
      <c r="O2" s="15"/>
      <c r="P2" s="15"/>
      <c r="Q2" s="17"/>
    </row>
    <row r="3" spans="1:17" x14ac:dyDescent="0.25">
      <c r="A3" s="16"/>
      <c r="B3" s="16"/>
      <c r="C3" s="15"/>
      <c r="D3" s="15"/>
      <c r="E3" s="15"/>
      <c r="F3" s="15"/>
      <c r="G3" s="15"/>
      <c r="H3" s="15"/>
      <c r="I3" s="15"/>
      <c r="J3" s="15"/>
      <c r="K3" s="15"/>
      <c r="L3" s="15"/>
      <c r="M3" s="15"/>
      <c r="N3" s="15"/>
      <c r="O3" s="15"/>
      <c r="P3" s="15"/>
      <c r="Q3" s="17"/>
    </row>
    <row r="4" spans="1:17" x14ac:dyDescent="0.25">
      <c r="A4" s="16"/>
      <c r="B4" s="16"/>
      <c r="C4" s="15"/>
      <c r="D4" s="15"/>
      <c r="E4" s="15"/>
      <c r="F4" s="15"/>
      <c r="G4" s="15"/>
      <c r="H4" s="15"/>
      <c r="I4" s="15"/>
      <c r="J4" s="15"/>
      <c r="K4" s="15"/>
      <c r="L4" s="15"/>
      <c r="M4" s="15"/>
      <c r="N4" s="15"/>
      <c r="O4" s="15"/>
      <c r="P4" s="15"/>
      <c r="Q4" s="17"/>
    </row>
    <row r="5" spans="1:17" x14ac:dyDescent="0.25">
      <c r="A5" s="16"/>
      <c r="B5" s="16"/>
      <c r="C5" s="15"/>
      <c r="D5" s="15"/>
      <c r="E5" s="15"/>
      <c r="F5" s="15"/>
      <c r="G5" s="15"/>
      <c r="H5" s="15"/>
      <c r="I5" s="15"/>
      <c r="J5" s="15"/>
      <c r="K5" s="15"/>
      <c r="L5" s="15"/>
      <c r="M5" s="15"/>
      <c r="N5" s="15"/>
      <c r="O5" s="15"/>
      <c r="P5" s="15"/>
      <c r="Q5" s="17"/>
    </row>
    <row r="6" spans="1:17" x14ac:dyDescent="0.25">
      <c r="A6" s="16"/>
      <c r="B6" s="16"/>
      <c r="C6" s="15"/>
      <c r="D6" s="15"/>
      <c r="E6" s="15"/>
      <c r="F6" s="15"/>
      <c r="G6" s="15"/>
      <c r="H6" s="15"/>
      <c r="I6" s="15"/>
      <c r="J6" s="15"/>
      <c r="K6" s="15"/>
      <c r="L6" s="15"/>
      <c r="M6" s="15"/>
      <c r="N6" s="15"/>
      <c r="O6" s="15"/>
      <c r="P6" s="15"/>
      <c r="Q6" s="17"/>
    </row>
    <row r="7" spans="1:17" x14ac:dyDescent="0.25">
      <c r="A7" s="16"/>
      <c r="B7" s="16"/>
      <c r="C7" s="16"/>
      <c r="D7" s="16"/>
      <c r="E7" s="16"/>
      <c r="F7" s="16"/>
      <c r="G7" s="16"/>
      <c r="H7" s="15"/>
      <c r="I7" s="15"/>
      <c r="J7" s="15"/>
      <c r="K7" s="15"/>
      <c r="L7" s="15"/>
      <c r="M7" s="15"/>
      <c r="N7" s="15"/>
      <c r="O7" s="15"/>
      <c r="P7" s="15"/>
      <c r="Q7" s="17"/>
    </row>
    <row r="8" spans="1:17" x14ac:dyDescent="0.25">
      <c r="A8" s="16"/>
      <c r="B8" s="16"/>
      <c r="C8" s="16"/>
      <c r="D8" s="16"/>
      <c r="E8" s="16"/>
      <c r="F8" s="16"/>
      <c r="G8" s="16"/>
      <c r="H8" s="15"/>
      <c r="I8" s="15"/>
      <c r="J8" s="15"/>
      <c r="K8" s="15"/>
      <c r="L8" s="15"/>
      <c r="M8" s="15"/>
      <c r="N8" s="15"/>
      <c r="O8" s="15"/>
      <c r="P8" s="15"/>
      <c r="Q8" s="17"/>
    </row>
    <row r="9" spans="1:17" x14ac:dyDescent="0.25">
      <c r="A9" s="16"/>
      <c r="B9" s="16"/>
      <c r="C9" s="16"/>
      <c r="D9" s="16"/>
      <c r="E9" s="16"/>
      <c r="F9" s="16"/>
      <c r="G9" s="16"/>
      <c r="H9" s="15"/>
      <c r="I9" s="15"/>
      <c r="J9" s="15"/>
      <c r="K9" s="15"/>
      <c r="L9" s="15"/>
      <c r="M9" s="15"/>
      <c r="N9" s="15"/>
      <c r="O9" s="15"/>
      <c r="P9" s="15"/>
      <c r="Q9" s="17"/>
    </row>
    <row r="10" spans="1:17" x14ac:dyDescent="0.25">
      <c r="A10" s="16"/>
      <c r="B10" s="16"/>
      <c r="C10" s="15"/>
      <c r="D10" s="15"/>
      <c r="E10" s="15"/>
      <c r="F10" s="15"/>
      <c r="G10" s="15"/>
      <c r="H10" s="15"/>
      <c r="I10" s="15"/>
      <c r="J10" s="15"/>
      <c r="K10" s="15"/>
      <c r="L10" s="15"/>
      <c r="M10" s="15"/>
      <c r="N10" s="15"/>
      <c r="O10" s="15"/>
      <c r="P10" s="15"/>
      <c r="Q10" s="17"/>
    </row>
    <row r="11" spans="1:17" x14ac:dyDescent="0.25">
      <c r="A11" s="16"/>
      <c r="B11" s="16"/>
      <c r="C11" s="15"/>
      <c r="D11" s="15"/>
      <c r="E11" s="15"/>
      <c r="F11" s="15"/>
      <c r="G11" s="15"/>
      <c r="H11" s="15"/>
      <c r="I11" s="15"/>
      <c r="J11" s="15"/>
      <c r="K11" s="15"/>
      <c r="L11" s="15"/>
      <c r="M11" s="15"/>
      <c r="N11" s="15"/>
      <c r="O11" s="15"/>
      <c r="P11" s="15"/>
      <c r="Q11" s="17"/>
    </row>
    <row r="12" spans="1:17" x14ac:dyDescent="0.25">
      <c r="A12" s="16"/>
      <c r="B12" s="16"/>
      <c r="C12" s="15"/>
      <c r="D12" s="15"/>
      <c r="E12" s="15"/>
      <c r="F12" s="15"/>
      <c r="G12" s="15"/>
      <c r="H12" s="15"/>
      <c r="I12" s="15"/>
      <c r="J12" s="15"/>
      <c r="K12" s="15"/>
      <c r="L12" s="15"/>
      <c r="M12" s="15"/>
      <c r="N12" s="15"/>
      <c r="O12" s="15"/>
      <c r="P12" s="15"/>
      <c r="Q12" s="17"/>
    </row>
    <row r="13" spans="1:17" x14ac:dyDescent="0.25">
      <c r="A13" s="16"/>
      <c r="B13" s="16"/>
      <c r="C13" s="15"/>
      <c r="D13" s="15"/>
      <c r="E13" s="15"/>
      <c r="F13" s="15"/>
      <c r="G13" s="15"/>
      <c r="H13" s="15"/>
      <c r="I13" s="15"/>
      <c r="J13" s="15"/>
      <c r="K13" s="15"/>
      <c r="L13" s="15"/>
      <c r="M13" s="15"/>
      <c r="N13" s="15"/>
      <c r="O13" s="15"/>
      <c r="P13" s="15"/>
      <c r="Q13" s="17"/>
    </row>
    <row r="14" spans="1:17" x14ac:dyDescent="0.25">
      <c r="A14" s="16"/>
      <c r="B14" s="16"/>
      <c r="C14" s="15"/>
      <c r="D14" s="15"/>
      <c r="E14" s="15"/>
      <c r="F14" s="15"/>
      <c r="G14" s="15"/>
      <c r="H14" s="15"/>
      <c r="I14" s="15"/>
      <c r="J14" s="15"/>
      <c r="K14" s="15"/>
      <c r="L14" s="15"/>
      <c r="M14" s="15"/>
      <c r="N14" s="15"/>
      <c r="O14" s="15"/>
      <c r="P14" s="15"/>
      <c r="Q14" s="17"/>
    </row>
    <row r="15" spans="1:17" x14ac:dyDescent="0.25">
      <c r="A15" s="16"/>
      <c r="B15" s="16"/>
      <c r="C15" s="15"/>
      <c r="D15" s="15"/>
      <c r="E15" s="15"/>
      <c r="F15" s="15"/>
      <c r="G15" s="15"/>
      <c r="H15" s="15"/>
      <c r="I15" s="15"/>
      <c r="J15" s="15"/>
      <c r="K15" s="15"/>
      <c r="L15" s="15"/>
      <c r="M15" s="15"/>
      <c r="N15" s="15"/>
      <c r="O15" s="15"/>
      <c r="P15" s="15"/>
      <c r="Q15" s="17"/>
    </row>
    <row r="16" spans="1:17" x14ac:dyDescent="0.25">
      <c r="A16" s="16"/>
      <c r="B16" s="16"/>
      <c r="C16" s="15"/>
      <c r="D16" s="15"/>
      <c r="E16" s="15"/>
      <c r="F16" s="15"/>
      <c r="G16" s="15"/>
      <c r="H16" s="15"/>
      <c r="I16" s="15"/>
      <c r="J16" s="15"/>
      <c r="K16" s="15"/>
      <c r="L16" s="15"/>
      <c r="M16" s="15"/>
      <c r="N16" s="15"/>
      <c r="O16" s="15"/>
      <c r="P16" s="15"/>
      <c r="Q16" s="17"/>
    </row>
    <row r="23" spans="13:19" x14ac:dyDescent="0.25">
      <c r="S23" s="15"/>
    </row>
    <row r="24" spans="13:19" x14ac:dyDescent="0.25">
      <c r="M24" t="e">
        <v>#NAME?</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06C0-0BAC-4274-BA3B-FC23A44D6DB0}">
  <dimension ref="A1"/>
  <sheetViews>
    <sheetView workbookViewId="0"/>
  </sheetViews>
  <sheetFormatPr defaultRowHeight="15"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2220-7972-48AD-9F33-FBDBD18E7A26}">
  <dimension ref="A1"/>
  <sheetViews>
    <sheetView workbookViewId="0"/>
  </sheetViews>
  <sheetFormatPr defaultRowHeight="15"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99A8-975B-4FD4-B41F-7CBBD8150402}">
  <dimension ref="A1"/>
  <sheetViews>
    <sheetView workbookViewId="0"/>
  </sheetViews>
  <sheetFormatPr defaultRowHeight="15" x14ac:dyDescent="0.25"/>
  <cols>
    <col min="3" max="3" width="9.28515625" customWidth="1"/>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2728DE2-FCD8-4113-B111-C8E9FC1FC429}">
  <ds:schemaRefs/>
</ds:datastoreItem>
</file>

<file path=customXml/itemProps2.xml><?xml version="1.0" encoding="utf-8"?>
<ds:datastoreItem xmlns:ds="http://schemas.openxmlformats.org/officeDocument/2006/customXml" ds:itemID="{22829C0A-549D-4836-8153-05473215B61B}">
  <ds:schemaRefs/>
</ds:datastoreItem>
</file>

<file path=customXml/itemProps3.xml><?xml version="1.0" encoding="utf-8"?>
<ds:datastoreItem xmlns:ds="http://schemas.openxmlformats.org/officeDocument/2006/customXml" ds:itemID="{C7C1EF6D-41BE-4B96-B48E-73037575EEFC}">
  <ds:schemaRefs/>
</ds:datastoreItem>
</file>

<file path=customXml/itemProps4.xml><?xml version="1.0" encoding="utf-8"?>
<ds:datastoreItem xmlns:ds="http://schemas.openxmlformats.org/officeDocument/2006/customXml" ds:itemID="{A74971C3-DDCB-4A7C-A9C0-B1363C618950}">
  <ds:schemaRefs/>
</ds:datastoreItem>
</file>

<file path=customXml/itemProps5.xml><?xml version="1.0" encoding="utf-8"?>
<ds:datastoreItem xmlns:ds="http://schemas.openxmlformats.org/officeDocument/2006/customXml" ds:itemID="{45A4BC41-D68B-48B3-A234-882FD52505C4}">
  <ds:schemaRefs>
    <ds:schemaRef ds:uri="http://schemas.microsoft.com/DataMashup"/>
  </ds:schemaRefs>
</ds:datastoreItem>
</file>

<file path=customXml/itemProps6.xml><?xml version="1.0" encoding="utf-8"?>
<ds:datastoreItem xmlns:ds="http://schemas.openxmlformats.org/officeDocument/2006/customXml" ds:itemID="{6A457767-5EA9-4F02-97E4-AFFEA59F9A55}">
  <ds:schemaRefs/>
</ds:datastoreItem>
</file>

<file path=customXml/itemProps7.xml><?xml version="1.0" encoding="utf-8"?>
<ds:datastoreItem xmlns:ds="http://schemas.openxmlformats.org/officeDocument/2006/customXml" ds:itemID="{503ADA45-F7FA-4F8D-8DE6-66686DE06809}">
  <ds:schemaRefs/>
</ds:datastoreItem>
</file>

<file path=customXml/itemProps8.xml><?xml version="1.0" encoding="utf-8"?>
<ds:datastoreItem xmlns:ds="http://schemas.openxmlformats.org/officeDocument/2006/customXml" ds:itemID="{E6619B02-0E2B-46CB-90DD-37CE80A721DE}">
  <ds:schemaRefs/>
</ds:datastoreItem>
</file>

<file path=customXml/itemProps9.xml><?xml version="1.0" encoding="utf-8"?>
<ds:datastoreItem xmlns:ds="http://schemas.openxmlformats.org/officeDocument/2006/customXml" ds:itemID="{20789BEB-7C98-41F1-8C60-C454227095AA}">
  <ds:schemaRefs/>
</ds:datastoreItem>
</file>

<file path=customXml/itemProps10.xml><?xml version="1.0" encoding="utf-8"?>
<ds:datastoreItem xmlns:ds="http://schemas.openxmlformats.org/officeDocument/2006/customXml" ds:itemID="{D9245B82-0C7E-4898-AA97-77F8F3509DB3}">
  <ds:schemaRefs/>
</ds:datastoreItem>
</file>

<file path=customXml/itemProps11.xml><?xml version="1.0" encoding="utf-8"?>
<ds:datastoreItem xmlns:ds="http://schemas.openxmlformats.org/officeDocument/2006/customXml" ds:itemID="{EB4B99C9-DB12-4B50-9B9E-384D0DA0B60F}">
  <ds:schemaRefs/>
</ds:datastoreItem>
</file>

<file path=customXml/itemProps12.xml><?xml version="1.0" encoding="utf-8"?>
<ds:datastoreItem xmlns:ds="http://schemas.openxmlformats.org/officeDocument/2006/customXml" ds:itemID="{F2A2074F-2FA1-45A1-A8DC-98B06AF09B5D}">
  <ds:schemaRefs/>
</ds:datastoreItem>
</file>

<file path=customXml/itemProps13.xml><?xml version="1.0" encoding="utf-8"?>
<ds:datastoreItem xmlns:ds="http://schemas.openxmlformats.org/officeDocument/2006/customXml" ds:itemID="{1FEE4B97-7632-41A6-886F-249595947F3A}">
  <ds:schemaRefs/>
</ds:datastoreItem>
</file>

<file path=customXml/itemProps14.xml><?xml version="1.0" encoding="utf-8"?>
<ds:datastoreItem xmlns:ds="http://schemas.openxmlformats.org/officeDocument/2006/customXml" ds:itemID="{53D3C365-53DB-4D9D-B190-8D1C23CCE865}">
  <ds:schemaRefs/>
</ds:datastoreItem>
</file>

<file path=customXml/itemProps15.xml><?xml version="1.0" encoding="utf-8"?>
<ds:datastoreItem xmlns:ds="http://schemas.openxmlformats.org/officeDocument/2006/customXml" ds:itemID="{38476DE2-B6A3-4521-867A-488444C73730}">
  <ds:schemaRefs/>
</ds:datastoreItem>
</file>

<file path=customXml/itemProps16.xml><?xml version="1.0" encoding="utf-8"?>
<ds:datastoreItem xmlns:ds="http://schemas.openxmlformats.org/officeDocument/2006/customXml" ds:itemID="{EC929C03-E38E-4F47-8F6E-D79B0B8D6D8E}">
  <ds:schemaRefs/>
</ds:datastoreItem>
</file>

<file path=customXml/itemProps17.xml><?xml version="1.0" encoding="utf-8"?>
<ds:datastoreItem xmlns:ds="http://schemas.openxmlformats.org/officeDocument/2006/customXml" ds:itemID="{52D0C8EF-5F4F-41D5-AD4C-FDA2ACCD0E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Dashborad</vt:lpstr>
      <vt:lpstr>Patient satisfaction</vt:lpstr>
      <vt:lpstr>Average wait time</vt:lpstr>
      <vt:lpstr>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Mephi 💀</dc:creator>
  <cp:lastModifiedBy>Mephi 💀</cp:lastModifiedBy>
  <cp:lastPrinted>2026-02-20T22:48:31Z</cp:lastPrinted>
  <dcterms:created xsi:type="dcterms:W3CDTF">2025-12-24T09:42:36Z</dcterms:created>
  <dcterms:modified xsi:type="dcterms:W3CDTF">2026-02-20T23:13:23Z</dcterms:modified>
</cp:coreProperties>
</file>